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ARTITE" sheetId="2" state="visible" r:id="rId2"/>
    <sheet xmlns:r="http://schemas.openxmlformats.org/officeDocument/2006/relationships" name="GIOCATORI" sheetId="3" state="visible" r:id="rId3"/>
    <sheet xmlns:r="http://schemas.openxmlformats.org/officeDocument/2006/relationships" name="_CALC" sheetId="4" state="hidden" r:id="rId4"/>
    <sheet xmlns:r="http://schemas.openxmlformats.org/officeDocument/2006/relationships" name="CLASSIFICA" sheetId="5" state="visible" r:id="rId5"/>
    <sheet xmlns:r="http://schemas.openxmlformats.org/officeDocument/2006/relationships" name="EXPORT_J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F5EDD8"/>
      <sz val="10"/>
    </font>
    <font>
      <name val="Arial"/>
      <color rgb="00FFFFFF"/>
      <sz val="10"/>
    </font>
    <font>
      <name val="Arial"/>
      <b val="1"/>
      <color rgb="00E8C96A"/>
      <sz val="12"/>
    </font>
    <font>
      <name val="Arial"/>
      <b val="1"/>
      <color rgb="00C0392B"/>
      <sz val="10"/>
    </font>
    <font>
      <name val="Arial"/>
      <b val="1"/>
      <color rgb="00C9A84C"/>
      <sz val="14"/>
    </font>
    <font>
      <name val="Arial"/>
      <b val="1"/>
      <color rgb="000B1628"/>
      <sz val="11"/>
    </font>
    <font>
      <name val="Arial"/>
      <b val="1"/>
      <color rgb="00FFFFFF"/>
      <sz val="10"/>
    </font>
    <font>
      <name val="Arial"/>
      <b val="1"/>
      <color rgb="00999999"/>
      <sz val="9"/>
    </font>
    <font>
      <name val="Arial"/>
      <b val="1"/>
      <color rgb="00C0392B"/>
      <sz val="12"/>
    </font>
    <font>
      <name val="Arial"/>
      <color rgb="00888888"/>
      <sz val="9"/>
    </font>
    <font>
      <name val="Arial"/>
      <color rgb="001A1A1A"/>
      <sz val="10"/>
    </font>
    <font>
      <name val="Arial"/>
      <b val="1"/>
      <color rgb="000B1628"/>
      <sz val="10"/>
    </font>
    <font>
      <name val="Arial"/>
      <b val="1"/>
      <color rgb="00C9A84C"/>
      <sz val="10"/>
    </font>
    <font>
      <name val="Arial"/>
      <color rgb="00C9A84C"/>
      <sz val="10"/>
    </font>
    <font>
      <name val="Arial"/>
      <b val="1"/>
      <color rgb="00C9A84C"/>
      <sz val="12"/>
    </font>
    <font>
      <name val="Arial"/>
      <color rgb="00F5EDD8"/>
      <sz val="9"/>
    </font>
    <font>
      <name val="Arial"/>
      <b val="1"/>
      <color rgb="00E8C96A"/>
      <sz val="10"/>
    </font>
    <font>
      <name val="Courier New"/>
      <color rgb="001A1A1A"/>
      <sz val="9"/>
    </font>
    <font>
      <name val="Arial"/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FF3E0"/>
      </patternFill>
    </fill>
    <fill>
      <patternFill patternType="solid">
        <fgColor rgb="00C9A84C"/>
      </patternFill>
    </fill>
    <fill>
      <patternFill patternType="solid">
        <fgColor rgb="001E3050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0F1E35"/>
      </patternFill>
    </fill>
    <fill>
      <patternFill patternType="solid">
        <fgColor rgb="00132038"/>
      </patternFill>
    </fill>
  </fills>
  <borders count="3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wrapText="1"/>
    </xf>
    <xf numFmtId="0" fontId="18" fillId="9" borderId="0" pivotButton="0" quotePrefix="0" xfId="0"/>
    <xf numFmtId="0" fontId="19" fillId="6" borderId="2" applyAlignment="1" pivotButton="0" quotePrefix="0" xfId="0">
      <alignment horizontal="left" vertical="top" wrapText="1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1628"/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2" customWidth="1" min="2" max="2"/>
  </cols>
  <sheetData>
    <row r="1" ht="30" customHeight="1">
      <c r="B1" s="1" t="inlineStr">
        <is>
          <t>KAIROS CUP 2025 — Gestione Torneo</t>
        </is>
      </c>
    </row>
    <row r="2" ht="20" customHeight="1">
      <c r="B2" s="2" t="inlineStr">
        <is>
          <t>Campo Giarizzole · Trieste · Calcio a 7 · 10 squadre</t>
        </is>
      </c>
    </row>
    <row r="3" ht="20" customHeight="1">
      <c r="B3" s="3" t="inlineStr"/>
    </row>
    <row r="4" ht="20" customHeight="1">
      <c r="B4" s="4" t="inlineStr">
        <is>
          <t>COME USARE QUESTO FILE:</t>
        </is>
      </c>
    </row>
    <row r="5" ht="20" customHeight="1">
      <c r="B5" s="2" t="inlineStr">
        <is>
          <t>1. Foglio PARTITE  →  inserisci i gol (celle gialle) per ogni partita giocata.</t>
        </is>
      </c>
    </row>
    <row r="6" ht="20" customHeight="1">
      <c r="B6" s="2" t="inlineStr">
        <is>
          <t>2. Foglio GIOCATORI  →  inserisci nome, squadra, gol, assist, voto, presenze.</t>
        </is>
      </c>
    </row>
    <row r="7" ht="20" customHeight="1">
      <c r="B7" s="2" t="inlineStr">
        <is>
          <t>3. Foglio CLASSIFICA  →  si aggiorna automaticamente (non modificare le formule).</t>
        </is>
      </c>
    </row>
    <row r="8" ht="20" customHeight="1">
      <c r="B8" s="2" t="inlineStr">
        <is>
          <t>4. Foglio EXPORT_JSON  →  copia il testo dalla cella B4 e incollalo nel sito.</t>
        </is>
      </c>
    </row>
    <row r="9" ht="20" customHeight="1">
      <c r="B9" s="3" t="inlineStr"/>
    </row>
    <row r="10" ht="20" customHeight="1">
      <c r="B10" s="4" t="inlineStr">
        <is>
          <t>FORMATO TORNEO:</t>
        </is>
      </c>
    </row>
    <row r="11" ht="20" customHeight="1">
      <c r="B11" s="2" t="inlineStr">
        <is>
          <t>Fase 1 — Campionato avulso: tutti contro tutti (45 partite totali, 9 giornate da 5).</t>
        </is>
      </c>
    </row>
    <row r="12" ht="20" customHeight="1">
      <c r="B12" s="2" t="inlineStr">
        <is>
          <t>Fase 2 — Finali per posizione: 1°vs2°, 3°vs4°, 5°vs6°, 7°vs8°, 9°vs10°.</t>
        </is>
      </c>
    </row>
    <row r="13" ht="20" customHeight="1">
      <c r="B13" s="2" t="inlineStr">
        <is>
          <t>Punti: Vittoria=3 | Pareggio=1 | Sconfitta=0</t>
        </is>
      </c>
    </row>
    <row r="14" ht="20" customHeight="1">
      <c r="B14" s="3" t="inlineStr"/>
    </row>
    <row r="15" ht="20" customHeight="1">
      <c r="B15" s="5" t="inlineStr">
        <is>
          <t>⚠  Non modificare le formule nei fogli CLASSIFICA e EXPORT_JSON.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8" customWidth="1" min="4" max="4"/>
    <col width="5" customWidth="1" min="5" max="5"/>
    <col width="8" customWidth="1" min="6" max="6"/>
    <col width="26" customWidth="1" min="7" max="7"/>
    <col width="18" customWidth="1" min="8" max="8"/>
    <col width="20" customWidth="1" min="9" max="9"/>
  </cols>
  <sheetData>
    <row r="1" ht="28" customHeight="1">
      <c r="A1" s="6" t="inlineStr">
        <is>
          <t>KAIROS CUP 2025 — RISULTATI PARTITE</t>
        </is>
      </c>
    </row>
    <row r="2" ht="22" customHeight="1">
      <c r="A2" s="7" t="inlineStr">
        <is>
          <t>◆  FASE 1 — CAMPIONATO AVULSO  ◆</t>
        </is>
      </c>
    </row>
    <row r="3" ht="20" customHeight="1">
      <c r="A3" s="8" t="inlineStr">
        <is>
          <t>#</t>
        </is>
      </c>
      <c r="B3" s="8" t="inlineStr">
        <is>
          <t>Giornata</t>
        </is>
      </c>
      <c r="C3" s="8" t="inlineStr">
        <is>
          <t>Squadra A</t>
        </is>
      </c>
      <c r="D3" s="8" t="inlineStr">
        <is>
          <t>Gol A</t>
        </is>
      </c>
      <c r="E3" s="8" t="inlineStr">
        <is>
          <t>VS</t>
        </is>
      </c>
      <c r="F3" s="8" t="inlineStr">
        <is>
          <t>Gol B</t>
        </is>
      </c>
      <c r="G3" s="8" t="inlineStr">
        <is>
          <t>Squadra B</t>
        </is>
      </c>
      <c r="H3" s="8" t="inlineStr">
        <is>
          <t>Data</t>
        </is>
      </c>
      <c r="I3" s="8" t="inlineStr">
        <is>
          <t>Note</t>
        </is>
      </c>
    </row>
    <row r="4" ht="19" customHeight="1">
      <c r="A4" s="9" t="n">
        <v>1</v>
      </c>
      <c r="B4" s="9" t="inlineStr">
        <is>
          <t>G1</t>
        </is>
      </c>
      <c r="C4" s="10" t="inlineStr">
        <is>
          <t>Torino 1</t>
        </is>
      </c>
      <c r="D4" s="11" t="inlineStr"/>
      <c r="E4" s="9" t="inlineStr">
        <is>
          <t>VS</t>
        </is>
      </c>
      <c r="F4" s="11" t="inlineStr"/>
      <c r="G4" s="10" t="inlineStr">
        <is>
          <t>Torino 2</t>
        </is>
      </c>
      <c r="H4" s="12" t="inlineStr"/>
      <c r="I4" s="12" t="inlineStr"/>
    </row>
    <row r="5" ht="19" customHeight="1">
      <c r="A5" s="13" t="n">
        <v>2</v>
      </c>
      <c r="B5" s="13" t="inlineStr">
        <is>
          <t>G1</t>
        </is>
      </c>
      <c r="C5" s="14" t="inlineStr">
        <is>
          <t>Mestre 1</t>
        </is>
      </c>
      <c r="D5" s="11" t="inlineStr"/>
      <c r="E5" s="13" t="inlineStr">
        <is>
          <t>VS</t>
        </is>
      </c>
      <c r="F5" s="11" t="inlineStr"/>
      <c r="G5" s="14" t="inlineStr">
        <is>
          <t>Trieste 1</t>
        </is>
      </c>
      <c r="H5" s="12" t="inlineStr"/>
      <c r="I5" s="12" t="inlineStr"/>
    </row>
    <row r="6" ht="19" customHeight="1">
      <c r="A6" s="9" t="n">
        <v>3</v>
      </c>
      <c r="B6" s="9" t="inlineStr">
        <is>
          <t>G1</t>
        </is>
      </c>
      <c r="C6" s="10" t="inlineStr">
        <is>
          <t>Venezia/Mestre</t>
        </is>
      </c>
      <c r="D6" s="11" t="inlineStr"/>
      <c r="E6" s="9" t="inlineStr">
        <is>
          <t>VS</t>
        </is>
      </c>
      <c r="F6" s="11" t="inlineStr"/>
      <c r="G6" s="10" t="inlineStr">
        <is>
          <t>Udine</t>
        </is>
      </c>
      <c r="H6" s="12" t="inlineStr"/>
      <c r="I6" s="12" t="inlineStr"/>
    </row>
    <row r="7" ht="19" customHeight="1">
      <c r="A7" s="13" t="n">
        <v>4</v>
      </c>
      <c r="B7" s="13" t="inlineStr">
        <is>
          <t>G1</t>
        </is>
      </c>
      <c r="C7" s="14" t="inlineStr">
        <is>
          <t>Merano</t>
        </is>
      </c>
      <c r="D7" s="11" t="inlineStr"/>
      <c r="E7" s="13" t="inlineStr">
        <is>
          <t>VS</t>
        </is>
      </c>
      <c r="F7" s="11" t="inlineStr"/>
      <c r="G7" s="14" t="inlineStr">
        <is>
          <t>San Giorgio di Nogaro</t>
        </is>
      </c>
      <c r="H7" s="12" t="inlineStr"/>
      <c r="I7" s="12" t="inlineStr"/>
    </row>
    <row r="8" ht="19" customHeight="1">
      <c r="A8" s="9" t="n">
        <v>5</v>
      </c>
      <c r="B8" s="9" t="inlineStr">
        <is>
          <t>G1</t>
        </is>
      </c>
      <c r="C8" s="10" t="inlineStr">
        <is>
          <t>Pordenone</t>
        </is>
      </c>
      <c r="D8" s="11" t="inlineStr"/>
      <c r="E8" s="9" t="inlineStr">
        <is>
          <t>VS</t>
        </is>
      </c>
      <c r="F8" s="11" t="inlineStr"/>
      <c r="G8" s="10" t="inlineStr">
        <is>
          <t>Pordenone</t>
        </is>
      </c>
      <c r="H8" s="12" t="inlineStr"/>
      <c r="I8" s="12" t="inlineStr"/>
    </row>
    <row r="9" ht="19" customHeight="1">
      <c r="A9" s="13" t="n">
        <v>6</v>
      </c>
      <c r="B9" s="13" t="inlineStr">
        <is>
          <t>G2</t>
        </is>
      </c>
      <c r="C9" s="14" t="inlineStr">
        <is>
          <t>Torino 1</t>
        </is>
      </c>
      <c r="D9" s="11" t="inlineStr"/>
      <c r="E9" s="13" t="inlineStr">
        <is>
          <t>VS</t>
        </is>
      </c>
      <c r="F9" s="11" t="inlineStr"/>
      <c r="G9" s="14" t="inlineStr">
        <is>
          <t>Trieste 2</t>
        </is>
      </c>
      <c r="H9" s="12" t="inlineStr"/>
      <c r="I9" s="12" t="inlineStr"/>
    </row>
    <row r="10" ht="19" customHeight="1">
      <c r="A10" s="9" t="n">
        <v>7</v>
      </c>
      <c r="B10" s="9" t="inlineStr">
        <is>
          <t>G2</t>
        </is>
      </c>
      <c r="C10" s="10" t="inlineStr">
        <is>
          <t>Torino 2</t>
        </is>
      </c>
      <c r="D10" s="11" t="inlineStr"/>
      <c r="E10" s="9" t="inlineStr">
        <is>
          <t>VS</t>
        </is>
      </c>
      <c r="F10" s="11" t="inlineStr"/>
      <c r="G10" s="10" t="inlineStr">
        <is>
          <t>Udine</t>
        </is>
      </c>
      <c r="H10" s="12" t="inlineStr"/>
      <c r="I10" s="12" t="inlineStr"/>
    </row>
    <row r="11" ht="19" customHeight="1">
      <c r="A11" s="13" t="n">
        <v>8</v>
      </c>
      <c r="B11" s="13" t="inlineStr">
        <is>
          <t>G2</t>
        </is>
      </c>
      <c r="C11" s="14" t="inlineStr">
        <is>
          <t>Mestre 1</t>
        </is>
      </c>
      <c r="D11" s="11" t="inlineStr"/>
      <c r="E11" s="13" t="inlineStr">
        <is>
          <t>VS</t>
        </is>
      </c>
      <c r="F11" s="11" t="inlineStr"/>
      <c r="G11" s="14" t="inlineStr">
        <is>
          <t>San Giorgio di Nogaro</t>
        </is>
      </c>
      <c r="H11" s="12" t="inlineStr"/>
      <c r="I11" s="12" t="inlineStr"/>
    </row>
    <row r="12" ht="19" customHeight="1">
      <c r="A12" s="9" t="n">
        <v>9</v>
      </c>
      <c r="B12" s="9" t="inlineStr">
        <is>
          <t>G2</t>
        </is>
      </c>
      <c r="C12" s="10" t="inlineStr">
        <is>
          <t>Venezia/Mestre</t>
        </is>
      </c>
      <c r="D12" s="11" t="inlineStr"/>
      <c r="E12" s="9" t="inlineStr">
        <is>
          <t>VS</t>
        </is>
      </c>
      <c r="F12" s="11" t="inlineStr"/>
      <c r="G12" s="10" t="inlineStr">
        <is>
          <t>Pordenone</t>
        </is>
      </c>
      <c r="H12" s="12" t="inlineStr"/>
      <c r="I12" s="12" t="inlineStr"/>
    </row>
    <row r="13" ht="19" customHeight="1">
      <c r="A13" s="13" t="n">
        <v>10</v>
      </c>
      <c r="B13" s="13" t="inlineStr">
        <is>
          <t>G2</t>
        </is>
      </c>
      <c r="C13" s="14" t="inlineStr">
        <is>
          <t>Merano</t>
        </is>
      </c>
      <c r="D13" s="11" t="inlineStr"/>
      <c r="E13" s="13" t="inlineStr">
        <is>
          <t>VS</t>
        </is>
      </c>
      <c r="F13" s="11" t="inlineStr"/>
      <c r="G13" s="14" t="inlineStr">
        <is>
          <t>Merano</t>
        </is>
      </c>
      <c r="H13" s="12" t="inlineStr"/>
      <c r="I13" s="12" t="inlineStr"/>
    </row>
    <row r="14" ht="19" customHeight="1">
      <c r="A14" s="9" t="n">
        <v>11</v>
      </c>
      <c r="B14" s="9" t="inlineStr">
        <is>
          <t>G3</t>
        </is>
      </c>
      <c r="C14" s="10" t="inlineStr">
        <is>
          <t>Torino 1</t>
        </is>
      </c>
      <c r="D14" s="11" t="inlineStr"/>
      <c r="E14" s="9" t="inlineStr">
        <is>
          <t>VS</t>
        </is>
      </c>
      <c r="F14" s="11" t="inlineStr"/>
      <c r="G14" s="10" t="inlineStr">
        <is>
          <t>Trieste 1</t>
        </is>
      </c>
      <c r="H14" s="12" t="inlineStr"/>
      <c r="I14" s="12" t="inlineStr"/>
    </row>
    <row r="15" ht="19" customHeight="1">
      <c r="A15" s="13" t="n">
        <v>12</v>
      </c>
      <c r="B15" s="13" t="inlineStr">
        <is>
          <t>G3</t>
        </is>
      </c>
      <c r="C15" s="14" t="inlineStr">
        <is>
          <t>Trieste 2</t>
        </is>
      </c>
      <c r="D15" s="11" t="inlineStr"/>
      <c r="E15" s="13" t="inlineStr">
        <is>
          <t>VS</t>
        </is>
      </c>
      <c r="F15" s="11" t="inlineStr"/>
      <c r="G15" s="14" t="inlineStr">
        <is>
          <t>San Giorgio di Nogaro</t>
        </is>
      </c>
      <c r="H15" s="12" t="inlineStr"/>
      <c r="I15" s="12" t="inlineStr"/>
    </row>
    <row r="16" ht="19" customHeight="1">
      <c r="A16" s="9" t="n">
        <v>13</v>
      </c>
      <c r="B16" s="9" t="inlineStr">
        <is>
          <t>G3</t>
        </is>
      </c>
      <c r="C16" s="10" t="inlineStr">
        <is>
          <t>Torino 2</t>
        </is>
      </c>
      <c r="D16" s="11" t="inlineStr"/>
      <c r="E16" s="9" t="inlineStr">
        <is>
          <t>VS</t>
        </is>
      </c>
      <c r="F16" s="11" t="inlineStr"/>
      <c r="G16" s="10" t="inlineStr">
        <is>
          <t>Pordenone</t>
        </is>
      </c>
      <c r="H16" s="12" t="inlineStr"/>
      <c r="I16" s="12" t="inlineStr"/>
    </row>
    <row r="17" ht="19" customHeight="1">
      <c r="A17" s="13" t="n">
        <v>14</v>
      </c>
      <c r="B17" s="13" t="inlineStr">
        <is>
          <t>G3</t>
        </is>
      </c>
      <c r="C17" s="14" t="inlineStr">
        <is>
          <t>Mestre 1</t>
        </is>
      </c>
      <c r="D17" s="11" t="inlineStr"/>
      <c r="E17" s="13" t="inlineStr">
        <is>
          <t>VS</t>
        </is>
      </c>
      <c r="F17" s="11" t="inlineStr"/>
      <c r="G17" s="14" t="inlineStr">
        <is>
          <t>Merano</t>
        </is>
      </c>
      <c r="H17" s="12" t="inlineStr"/>
      <c r="I17" s="12" t="inlineStr"/>
    </row>
    <row r="18" ht="19" customHeight="1">
      <c r="A18" s="9" t="n">
        <v>15</v>
      </c>
      <c r="B18" s="9" t="inlineStr">
        <is>
          <t>G3</t>
        </is>
      </c>
      <c r="C18" s="10" t="inlineStr">
        <is>
          <t>Venezia/Mestre</t>
        </is>
      </c>
      <c r="D18" s="11" t="inlineStr"/>
      <c r="E18" s="9" t="inlineStr">
        <is>
          <t>VS</t>
        </is>
      </c>
      <c r="F18" s="11" t="inlineStr"/>
      <c r="G18" s="10" t="inlineStr">
        <is>
          <t>Venezia/Mestre</t>
        </is>
      </c>
      <c r="H18" s="12" t="inlineStr"/>
      <c r="I18" s="12" t="inlineStr"/>
    </row>
    <row r="19" ht="19" customHeight="1">
      <c r="A19" s="13" t="n">
        <v>16</v>
      </c>
      <c r="B19" s="13" t="inlineStr">
        <is>
          <t>G4</t>
        </is>
      </c>
      <c r="C19" s="14" t="inlineStr">
        <is>
          <t>Torino 1</t>
        </is>
      </c>
      <c r="D19" s="11" t="inlineStr"/>
      <c r="E19" s="13" t="inlineStr">
        <is>
          <t>VS</t>
        </is>
      </c>
      <c r="F19" s="11" t="inlineStr"/>
      <c r="G19" s="14" t="inlineStr">
        <is>
          <t>Udine</t>
        </is>
      </c>
      <c r="H19" s="12" t="inlineStr"/>
      <c r="I19" s="12" t="inlineStr"/>
    </row>
    <row r="20" ht="19" customHeight="1">
      <c r="A20" s="9" t="n">
        <v>17</v>
      </c>
      <c r="B20" s="9" t="inlineStr">
        <is>
          <t>G4</t>
        </is>
      </c>
      <c r="C20" s="10" t="inlineStr">
        <is>
          <t>Trieste 1</t>
        </is>
      </c>
      <c r="D20" s="11" t="inlineStr"/>
      <c r="E20" s="9" t="inlineStr">
        <is>
          <t>VS</t>
        </is>
      </c>
      <c r="F20" s="11" t="inlineStr"/>
      <c r="G20" s="10" t="inlineStr">
        <is>
          <t>Pordenone</t>
        </is>
      </c>
      <c r="H20" s="12" t="inlineStr"/>
      <c r="I20" s="12" t="inlineStr"/>
    </row>
    <row r="21" ht="19" customHeight="1">
      <c r="A21" s="13" t="n">
        <v>18</v>
      </c>
      <c r="B21" s="13" t="inlineStr">
        <is>
          <t>G4</t>
        </is>
      </c>
      <c r="C21" s="14" t="inlineStr">
        <is>
          <t>Trieste 2</t>
        </is>
      </c>
      <c r="D21" s="11" t="inlineStr"/>
      <c r="E21" s="13" t="inlineStr">
        <is>
          <t>VS</t>
        </is>
      </c>
      <c r="F21" s="11" t="inlineStr"/>
      <c r="G21" s="14" t="inlineStr">
        <is>
          <t>Merano</t>
        </is>
      </c>
      <c r="H21" s="12" t="inlineStr"/>
      <c r="I21" s="12" t="inlineStr"/>
    </row>
    <row r="22" ht="19" customHeight="1">
      <c r="A22" s="9" t="n">
        <v>19</v>
      </c>
      <c r="B22" s="9" t="inlineStr">
        <is>
          <t>G4</t>
        </is>
      </c>
      <c r="C22" s="10" t="inlineStr">
        <is>
          <t>Torino 2</t>
        </is>
      </c>
      <c r="D22" s="11" t="inlineStr"/>
      <c r="E22" s="9" t="inlineStr">
        <is>
          <t>VS</t>
        </is>
      </c>
      <c r="F22" s="11" t="inlineStr"/>
      <c r="G22" s="10" t="inlineStr">
        <is>
          <t>Venezia/Mestre</t>
        </is>
      </c>
      <c r="H22" s="12" t="inlineStr"/>
      <c r="I22" s="12" t="inlineStr"/>
    </row>
    <row r="23" ht="19" customHeight="1">
      <c r="A23" s="13" t="n">
        <v>20</v>
      </c>
      <c r="B23" s="13" t="inlineStr">
        <is>
          <t>G4</t>
        </is>
      </c>
      <c r="C23" s="14" t="inlineStr">
        <is>
          <t>Mestre 1</t>
        </is>
      </c>
      <c r="D23" s="11" t="inlineStr"/>
      <c r="E23" s="13" t="inlineStr">
        <is>
          <t>VS</t>
        </is>
      </c>
      <c r="F23" s="11" t="inlineStr"/>
      <c r="G23" s="14" t="inlineStr">
        <is>
          <t>Mestre 1</t>
        </is>
      </c>
      <c r="H23" s="12" t="inlineStr"/>
      <c r="I23" s="12" t="inlineStr"/>
    </row>
    <row r="24" ht="19" customHeight="1">
      <c r="A24" s="9" t="n">
        <v>21</v>
      </c>
      <c r="B24" s="9" t="inlineStr">
        <is>
          <t>G5</t>
        </is>
      </c>
      <c r="C24" s="10" t="inlineStr">
        <is>
          <t>Torino 1</t>
        </is>
      </c>
      <c r="D24" s="11" t="inlineStr"/>
      <c r="E24" s="9" t="inlineStr">
        <is>
          <t>VS</t>
        </is>
      </c>
      <c r="F24" s="11" t="inlineStr"/>
      <c r="G24" s="10" t="inlineStr">
        <is>
          <t>San Giorgio di Nogaro</t>
        </is>
      </c>
      <c r="H24" s="12" t="inlineStr"/>
      <c r="I24" s="12" t="inlineStr"/>
    </row>
    <row r="25" ht="19" customHeight="1">
      <c r="A25" s="13" t="n">
        <v>22</v>
      </c>
      <c r="B25" s="13" t="inlineStr">
        <is>
          <t>G5</t>
        </is>
      </c>
      <c r="C25" s="14" t="inlineStr">
        <is>
          <t>Udine</t>
        </is>
      </c>
      <c r="D25" s="11" t="inlineStr"/>
      <c r="E25" s="13" t="inlineStr">
        <is>
          <t>VS</t>
        </is>
      </c>
      <c r="F25" s="11" t="inlineStr"/>
      <c r="G25" s="14" t="inlineStr">
        <is>
          <t>Merano</t>
        </is>
      </c>
      <c r="H25" s="12" t="inlineStr"/>
      <c r="I25" s="12" t="inlineStr"/>
    </row>
    <row r="26" ht="19" customHeight="1">
      <c r="A26" s="9" t="n">
        <v>23</v>
      </c>
      <c r="B26" s="9" t="inlineStr">
        <is>
          <t>G5</t>
        </is>
      </c>
      <c r="C26" s="10" t="inlineStr">
        <is>
          <t>Trieste 1</t>
        </is>
      </c>
      <c r="D26" s="11" t="inlineStr"/>
      <c r="E26" s="9" t="inlineStr">
        <is>
          <t>VS</t>
        </is>
      </c>
      <c r="F26" s="11" t="inlineStr"/>
      <c r="G26" s="10" t="inlineStr">
        <is>
          <t>Venezia/Mestre</t>
        </is>
      </c>
      <c r="H26" s="12" t="inlineStr"/>
      <c r="I26" s="12" t="inlineStr"/>
    </row>
    <row r="27" ht="19" customHeight="1">
      <c r="A27" s="13" t="n">
        <v>24</v>
      </c>
      <c r="B27" s="13" t="inlineStr">
        <is>
          <t>G5</t>
        </is>
      </c>
      <c r="C27" s="14" t="inlineStr">
        <is>
          <t>Trieste 2</t>
        </is>
      </c>
      <c r="D27" s="11" t="inlineStr"/>
      <c r="E27" s="13" t="inlineStr">
        <is>
          <t>VS</t>
        </is>
      </c>
      <c r="F27" s="11" t="inlineStr"/>
      <c r="G27" s="14" t="inlineStr">
        <is>
          <t>Mestre 1</t>
        </is>
      </c>
      <c r="H27" s="12" t="inlineStr"/>
      <c r="I27" s="12" t="inlineStr"/>
    </row>
    <row r="28" ht="19" customHeight="1">
      <c r="A28" s="9" t="n">
        <v>25</v>
      </c>
      <c r="B28" s="9" t="inlineStr">
        <is>
          <t>G5</t>
        </is>
      </c>
      <c r="C28" s="10" t="inlineStr">
        <is>
          <t>Torino 2</t>
        </is>
      </c>
      <c r="D28" s="11" t="inlineStr"/>
      <c r="E28" s="9" t="inlineStr">
        <is>
          <t>VS</t>
        </is>
      </c>
      <c r="F28" s="11" t="inlineStr"/>
      <c r="G28" s="10" t="inlineStr">
        <is>
          <t>Torino 2</t>
        </is>
      </c>
      <c r="H28" s="12" t="inlineStr"/>
      <c r="I28" s="12" t="inlineStr"/>
    </row>
    <row r="29" ht="19" customHeight="1">
      <c r="A29" s="13" t="n">
        <v>26</v>
      </c>
      <c r="B29" s="13" t="inlineStr">
        <is>
          <t>G6</t>
        </is>
      </c>
      <c r="C29" s="14" t="inlineStr">
        <is>
          <t>Torino 1</t>
        </is>
      </c>
      <c r="D29" s="11" t="inlineStr"/>
      <c r="E29" s="13" t="inlineStr">
        <is>
          <t>VS</t>
        </is>
      </c>
      <c r="F29" s="11" t="inlineStr"/>
      <c r="G29" s="14" t="inlineStr">
        <is>
          <t>Pordenone</t>
        </is>
      </c>
      <c r="H29" s="12" t="inlineStr"/>
      <c r="I29" s="12" t="inlineStr"/>
    </row>
    <row r="30" ht="19" customHeight="1">
      <c r="A30" s="9" t="n">
        <v>27</v>
      </c>
      <c r="B30" s="9" t="inlineStr">
        <is>
          <t>G6</t>
        </is>
      </c>
      <c r="C30" s="10" t="inlineStr">
        <is>
          <t>San Giorgio di Nogaro</t>
        </is>
      </c>
      <c r="D30" s="11" t="inlineStr"/>
      <c r="E30" s="9" t="inlineStr">
        <is>
          <t>VS</t>
        </is>
      </c>
      <c r="F30" s="11" t="inlineStr"/>
      <c r="G30" s="10" t="inlineStr">
        <is>
          <t>Venezia/Mestre</t>
        </is>
      </c>
      <c r="H30" s="12" t="inlineStr"/>
      <c r="I30" s="12" t="inlineStr"/>
    </row>
    <row r="31" ht="19" customHeight="1">
      <c r="A31" s="13" t="n">
        <v>28</v>
      </c>
      <c r="B31" s="13" t="inlineStr">
        <is>
          <t>G6</t>
        </is>
      </c>
      <c r="C31" s="14" t="inlineStr">
        <is>
          <t>Udine</t>
        </is>
      </c>
      <c r="D31" s="11" t="inlineStr"/>
      <c r="E31" s="13" t="inlineStr">
        <is>
          <t>VS</t>
        </is>
      </c>
      <c r="F31" s="11" t="inlineStr"/>
      <c r="G31" s="14" t="inlineStr">
        <is>
          <t>Mestre 1</t>
        </is>
      </c>
      <c r="H31" s="12" t="inlineStr"/>
      <c r="I31" s="12" t="inlineStr"/>
    </row>
    <row r="32" ht="19" customHeight="1">
      <c r="A32" s="9" t="n">
        <v>29</v>
      </c>
      <c r="B32" s="9" t="inlineStr">
        <is>
          <t>G6</t>
        </is>
      </c>
      <c r="C32" s="10" t="inlineStr">
        <is>
          <t>Trieste 1</t>
        </is>
      </c>
      <c r="D32" s="11" t="inlineStr"/>
      <c r="E32" s="9" t="inlineStr">
        <is>
          <t>VS</t>
        </is>
      </c>
      <c r="F32" s="11" t="inlineStr"/>
      <c r="G32" s="10" t="inlineStr">
        <is>
          <t>Torino 2</t>
        </is>
      </c>
      <c r="H32" s="12" t="inlineStr"/>
      <c r="I32" s="12" t="inlineStr"/>
    </row>
    <row r="33" ht="19" customHeight="1">
      <c r="A33" s="13" t="n">
        <v>30</v>
      </c>
      <c r="B33" s="13" t="inlineStr">
        <is>
          <t>G6</t>
        </is>
      </c>
      <c r="C33" s="14" t="inlineStr">
        <is>
          <t>Trieste 2</t>
        </is>
      </c>
      <c r="D33" s="11" t="inlineStr"/>
      <c r="E33" s="13" t="inlineStr">
        <is>
          <t>VS</t>
        </is>
      </c>
      <c r="F33" s="11" t="inlineStr"/>
      <c r="G33" s="14" t="inlineStr">
        <is>
          <t>Trieste 2</t>
        </is>
      </c>
      <c r="H33" s="12" t="inlineStr"/>
      <c r="I33" s="12" t="inlineStr"/>
    </row>
    <row r="34" ht="19" customHeight="1">
      <c r="A34" s="9" t="n">
        <v>31</v>
      </c>
      <c r="B34" s="9" t="inlineStr">
        <is>
          <t>G7</t>
        </is>
      </c>
      <c r="C34" s="10" t="inlineStr">
        <is>
          <t>Torino 1</t>
        </is>
      </c>
      <c r="D34" s="11" t="inlineStr"/>
      <c r="E34" s="9" t="inlineStr">
        <is>
          <t>VS</t>
        </is>
      </c>
      <c r="F34" s="11" t="inlineStr"/>
      <c r="G34" s="10" t="inlineStr">
        <is>
          <t>Merano</t>
        </is>
      </c>
      <c r="H34" s="12" t="inlineStr"/>
      <c r="I34" s="12" t="inlineStr"/>
    </row>
    <row r="35" ht="19" customHeight="1">
      <c r="A35" s="13" t="n">
        <v>32</v>
      </c>
      <c r="B35" s="13" t="inlineStr">
        <is>
          <t>G7</t>
        </is>
      </c>
      <c r="C35" s="14" t="inlineStr">
        <is>
          <t>Pordenone</t>
        </is>
      </c>
      <c r="D35" s="11" t="inlineStr"/>
      <c r="E35" s="13" t="inlineStr">
        <is>
          <t>VS</t>
        </is>
      </c>
      <c r="F35" s="11" t="inlineStr"/>
      <c r="G35" s="14" t="inlineStr">
        <is>
          <t>Mestre 1</t>
        </is>
      </c>
      <c r="H35" s="12" t="inlineStr"/>
      <c r="I35" s="12" t="inlineStr"/>
    </row>
    <row r="36" ht="19" customHeight="1">
      <c r="A36" s="9" t="n">
        <v>33</v>
      </c>
      <c r="B36" s="9" t="inlineStr">
        <is>
          <t>G7</t>
        </is>
      </c>
      <c r="C36" s="10" t="inlineStr">
        <is>
          <t>San Giorgio di Nogaro</t>
        </is>
      </c>
      <c r="D36" s="11" t="inlineStr"/>
      <c r="E36" s="9" t="inlineStr">
        <is>
          <t>VS</t>
        </is>
      </c>
      <c r="F36" s="11" t="inlineStr"/>
      <c r="G36" s="10" t="inlineStr">
        <is>
          <t>Torino 2</t>
        </is>
      </c>
      <c r="H36" s="12" t="inlineStr"/>
      <c r="I36" s="12" t="inlineStr"/>
    </row>
    <row r="37" ht="19" customHeight="1">
      <c r="A37" s="13" t="n">
        <v>34</v>
      </c>
      <c r="B37" s="13" t="inlineStr">
        <is>
          <t>G7</t>
        </is>
      </c>
      <c r="C37" s="14" t="inlineStr">
        <is>
          <t>Udine</t>
        </is>
      </c>
      <c r="D37" s="11" t="inlineStr"/>
      <c r="E37" s="13" t="inlineStr">
        <is>
          <t>VS</t>
        </is>
      </c>
      <c r="F37" s="11" t="inlineStr"/>
      <c r="G37" s="14" t="inlineStr">
        <is>
          <t>Trieste 2</t>
        </is>
      </c>
      <c r="H37" s="12" t="inlineStr"/>
      <c r="I37" s="12" t="inlineStr"/>
    </row>
    <row r="38" ht="19" customHeight="1">
      <c r="A38" s="9" t="n">
        <v>35</v>
      </c>
      <c r="B38" s="9" t="inlineStr">
        <is>
          <t>G7</t>
        </is>
      </c>
      <c r="C38" s="10" t="inlineStr">
        <is>
          <t>Trieste 1</t>
        </is>
      </c>
      <c r="D38" s="11" t="inlineStr"/>
      <c r="E38" s="9" t="inlineStr">
        <is>
          <t>VS</t>
        </is>
      </c>
      <c r="F38" s="11" t="inlineStr"/>
      <c r="G38" s="10" t="inlineStr">
        <is>
          <t>Trieste 1</t>
        </is>
      </c>
      <c r="H38" s="12" t="inlineStr"/>
      <c r="I38" s="12" t="inlineStr"/>
    </row>
    <row r="39" ht="19" customHeight="1">
      <c r="A39" s="13" t="n">
        <v>36</v>
      </c>
      <c r="B39" s="13" t="inlineStr">
        <is>
          <t>G8</t>
        </is>
      </c>
      <c r="C39" s="14" t="inlineStr">
        <is>
          <t>Torino 1</t>
        </is>
      </c>
      <c r="D39" s="11" t="inlineStr"/>
      <c r="E39" s="13" t="inlineStr">
        <is>
          <t>VS</t>
        </is>
      </c>
      <c r="F39" s="11" t="inlineStr"/>
      <c r="G39" s="14" t="inlineStr">
        <is>
          <t>Venezia/Mestre</t>
        </is>
      </c>
      <c r="H39" s="12" t="inlineStr"/>
      <c r="I39" s="12" t="inlineStr"/>
    </row>
    <row r="40" ht="19" customHeight="1">
      <c r="A40" s="9" t="n">
        <v>37</v>
      </c>
      <c r="B40" s="9" t="inlineStr">
        <is>
          <t>G8</t>
        </is>
      </c>
      <c r="C40" s="10" t="inlineStr">
        <is>
          <t>Merano</t>
        </is>
      </c>
      <c r="D40" s="11" t="inlineStr"/>
      <c r="E40" s="9" t="inlineStr">
        <is>
          <t>VS</t>
        </is>
      </c>
      <c r="F40" s="11" t="inlineStr"/>
      <c r="G40" s="10" t="inlineStr">
        <is>
          <t>Torino 2</t>
        </is>
      </c>
      <c r="H40" s="12" t="inlineStr"/>
      <c r="I40" s="12" t="inlineStr"/>
    </row>
    <row r="41" ht="19" customHeight="1">
      <c r="A41" s="13" t="n">
        <v>38</v>
      </c>
      <c r="B41" s="13" t="inlineStr">
        <is>
          <t>G8</t>
        </is>
      </c>
      <c r="C41" s="14" t="inlineStr">
        <is>
          <t>Pordenone</t>
        </is>
      </c>
      <c r="D41" s="11" t="inlineStr"/>
      <c r="E41" s="13" t="inlineStr">
        <is>
          <t>VS</t>
        </is>
      </c>
      <c r="F41" s="11" t="inlineStr"/>
      <c r="G41" s="14" t="inlineStr">
        <is>
          <t>Trieste 2</t>
        </is>
      </c>
      <c r="H41" s="12" t="inlineStr"/>
      <c r="I41" s="12" t="inlineStr"/>
    </row>
    <row r="42" ht="19" customHeight="1">
      <c r="A42" s="9" t="n">
        <v>39</v>
      </c>
      <c r="B42" s="9" t="inlineStr">
        <is>
          <t>G8</t>
        </is>
      </c>
      <c r="C42" s="10" t="inlineStr">
        <is>
          <t>San Giorgio di Nogaro</t>
        </is>
      </c>
      <c r="D42" s="11" t="inlineStr"/>
      <c r="E42" s="9" t="inlineStr">
        <is>
          <t>VS</t>
        </is>
      </c>
      <c r="F42" s="11" t="inlineStr"/>
      <c r="G42" s="10" t="inlineStr">
        <is>
          <t>Trieste 1</t>
        </is>
      </c>
      <c r="H42" s="12" t="inlineStr"/>
      <c r="I42" s="12" t="inlineStr"/>
    </row>
    <row r="43" ht="19" customHeight="1">
      <c r="A43" s="13" t="n">
        <v>40</v>
      </c>
      <c r="B43" s="13" t="inlineStr">
        <is>
          <t>G8</t>
        </is>
      </c>
      <c r="C43" s="14" t="inlineStr">
        <is>
          <t>Udine</t>
        </is>
      </c>
      <c r="D43" s="11" t="inlineStr"/>
      <c r="E43" s="13" t="inlineStr">
        <is>
          <t>VS</t>
        </is>
      </c>
      <c r="F43" s="11" t="inlineStr"/>
      <c r="G43" s="14" t="inlineStr">
        <is>
          <t>Udine</t>
        </is>
      </c>
      <c r="H43" s="12" t="inlineStr"/>
      <c r="I43" s="12" t="inlineStr"/>
    </row>
    <row r="44" ht="19" customHeight="1">
      <c r="A44" s="9" t="n">
        <v>41</v>
      </c>
      <c r="B44" s="9" t="inlineStr">
        <is>
          <t>G9</t>
        </is>
      </c>
      <c r="C44" s="10" t="inlineStr">
        <is>
          <t>Torino 1</t>
        </is>
      </c>
      <c r="D44" s="11" t="inlineStr"/>
      <c r="E44" s="9" t="inlineStr">
        <is>
          <t>VS</t>
        </is>
      </c>
      <c r="F44" s="11" t="inlineStr"/>
      <c r="G44" s="10" t="inlineStr">
        <is>
          <t>Mestre 1</t>
        </is>
      </c>
      <c r="H44" s="12" t="inlineStr"/>
      <c r="I44" s="12" t="inlineStr"/>
    </row>
    <row r="45" ht="19" customHeight="1">
      <c r="A45" s="13" t="n">
        <v>42</v>
      </c>
      <c r="B45" s="13" t="inlineStr">
        <is>
          <t>G9</t>
        </is>
      </c>
      <c r="C45" s="14" t="inlineStr">
        <is>
          <t>Venezia/Mestre</t>
        </is>
      </c>
      <c r="D45" s="11" t="inlineStr"/>
      <c r="E45" s="13" t="inlineStr">
        <is>
          <t>VS</t>
        </is>
      </c>
      <c r="F45" s="11" t="inlineStr"/>
      <c r="G45" s="14" t="inlineStr">
        <is>
          <t>Trieste 2</t>
        </is>
      </c>
      <c r="H45" s="12" t="inlineStr"/>
      <c r="I45" s="12" t="inlineStr"/>
    </row>
    <row r="46" ht="19" customHeight="1">
      <c r="A46" s="9" t="n">
        <v>43</v>
      </c>
      <c r="B46" s="9" t="inlineStr">
        <is>
          <t>G9</t>
        </is>
      </c>
      <c r="C46" s="10" t="inlineStr">
        <is>
          <t>Merano</t>
        </is>
      </c>
      <c r="D46" s="11" t="inlineStr"/>
      <c r="E46" s="9" t="inlineStr">
        <is>
          <t>VS</t>
        </is>
      </c>
      <c r="F46" s="11" t="inlineStr"/>
      <c r="G46" s="10" t="inlineStr">
        <is>
          <t>Trieste 1</t>
        </is>
      </c>
      <c r="H46" s="12" t="inlineStr"/>
      <c r="I46" s="12" t="inlineStr"/>
    </row>
    <row r="47" ht="19" customHeight="1">
      <c r="A47" s="13" t="n">
        <v>44</v>
      </c>
      <c r="B47" s="13" t="inlineStr">
        <is>
          <t>G9</t>
        </is>
      </c>
      <c r="C47" s="14" t="inlineStr">
        <is>
          <t>Pordenone</t>
        </is>
      </c>
      <c r="D47" s="11" t="inlineStr"/>
      <c r="E47" s="13" t="inlineStr">
        <is>
          <t>VS</t>
        </is>
      </c>
      <c r="F47" s="11" t="inlineStr"/>
      <c r="G47" s="14" t="inlineStr">
        <is>
          <t>Udine</t>
        </is>
      </c>
      <c r="H47" s="12" t="inlineStr"/>
      <c r="I47" s="12" t="inlineStr"/>
    </row>
    <row r="48" ht="19" customHeight="1">
      <c r="A48" s="9" t="n">
        <v>45</v>
      </c>
      <c r="B48" s="9" t="inlineStr">
        <is>
          <t>G9</t>
        </is>
      </c>
      <c r="C48" s="10" t="inlineStr">
        <is>
          <t>San Giorgio di Nogaro</t>
        </is>
      </c>
      <c r="D48" s="11" t="inlineStr"/>
      <c r="E48" s="9" t="inlineStr">
        <is>
          <t>VS</t>
        </is>
      </c>
      <c r="F48" s="11" t="inlineStr"/>
      <c r="G48" s="10" t="inlineStr">
        <is>
          <t>San Giorgio di Nogaro</t>
        </is>
      </c>
      <c r="H48" s="12" t="inlineStr"/>
      <c r="I48" s="12" t="inlineStr"/>
    </row>
    <row r="49" ht="22" customHeight="1">
      <c r="A49" s="7" t="inlineStr">
        <is>
          <t>◆  FASE 2 — FINALI PER POSIZIONE  ◆</t>
        </is>
      </c>
    </row>
    <row r="50" ht="20" customHeight="1">
      <c r="A50" s="8" t="inlineStr">
        <is>
          <t>#</t>
        </is>
      </c>
      <c r="B50" s="8" t="inlineStr">
        <is>
          <t>Giornata</t>
        </is>
      </c>
      <c r="C50" s="8" t="inlineStr">
        <is>
          <t>Squadra A</t>
        </is>
      </c>
      <c r="D50" s="8" t="inlineStr">
        <is>
          <t>Gol A</t>
        </is>
      </c>
      <c r="E50" s="8" t="inlineStr">
        <is>
          <t>VS</t>
        </is>
      </c>
      <c r="F50" s="8" t="inlineStr">
        <is>
          <t>Gol B</t>
        </is>
      </c>
      <c r="G50" s="8" t="inlineStr">
        <is>
          <t>Squadra B</t>
        </is>
      </c>
      <c r="H50" s="8" t="inlineStr">
        <is>
          <t>Data</t>
        </is>
      </c>
      <c r="I50" s="8" t="inlineStr">
        <is>
          <t>Note</t>
        </is>
      </c>
    </row>
    <row r="51" ht="19" customHeight="1">
      <c r="A51" s="9" t="n">
        <v>1</v>
      </c>
      <c r="B51" s="9" t="inlineStr">
        <is>
          <t>FIN</t>
        </is>
      </c>
      <c r="C51" s="9" t="inlineStr">
        <is>
          <t>TBD (dalla classifica)</t>
        </is>
      </c>
      <c r="D51" s="11" t="inlineStr"/>
      <c r="E51" s="9" t="inlineStr">
        <is>
          <t>VS</t>
        </is>
      </c>
      <c r="F51" s="11" t="inlineStr"/>
      <c r="G51" s="9" t="inlineStr">
        <is>
          <t>TBD (dalla classifica)</t>
        </is>
      </c>
      <c r="H51" s="15" t="inlineStr">
        <is>
          <t>Finale 1°/2°</t>
        </is>
      </c>
      <c r="I51" s="12" t="inlineStr"/>
    </row>
    <row r="52" ht="19" customHeight="1">
      <c r="A52" s="13" t="n">
        <v>2</v>
      </c>
      <c r="B52" s="13" t="inlineStr">
        <is>
          <t>FIN</t>
        </is>
      </c>
      <c r="C52" s="13" t="inlineStr">
        <is>
          <t>TBD (dalla classifica)</t>
        </is>
      </c>
      <c r="D52" s="11" t="inlineStr"/>
      <c r="E52" s="13" t="inlineStr">
        <is>
          <t>VS</t>
        </is>
      </c>
      <c r="F52" s="11" t="inlineStr"/>
      <c r="G52" s="13" t="inlineStr">
        <is>
          <t>TBD (dalla classifica)</t>
        </is>
      </c>
      <c r="H52" s="15" t="inlineStr">
        <is>
          <t>Finale 3°/4°</t>
        </is>
      </c>
      <c r="I52" s="12" t="inlineStr"/>
    </row>
    <row r="53" ht="19" customHeight="1">
      <c r="A53" s="9" t="n">
        <v>3</v>
      </c>
      <c r="B53" s="9" t="inlineStr">
        <is>
          <t>FIN</t>
        </is>
      </c>
      <c r="C53" s="9" t="inlineStr">
        <is>
          <t>TBD (dalla classifica)</t>
        </is>
      </c>
      <c r="D53" s="11" t="inlineStr"/>
      <c r="E53" s="9" t="inlineStr">
        <is>
          <t>VS</t>
        </is>
      </c>
      <c r="F53" s="11" t="inlineStr"/>
      <c r="G53" s="9" t="inlineStr">
        <is>
          <t>TBD (dalla classifica)</t>
        </is>
      </c>
      <c r="H53" s="15" t="inlineStr">
        <is>
          <t>Finale 5°/6°</t>
        </is>
      </c>
      <c r="I53" s="12" t="inlineStr"/>
    </row>
    <row r="54" ht="19" customHeight="1">
      <c r="A54" s="13" t="n">
        <v>4</v>
      </c>
      <c r="B54" s="13" t="inlineStr">
        <is>
          <t>FIN</t>
        </is>
      </c>
      <c r="C54" s="13" t="inlineStr">
        <is>
          <t>TBD (dalla classifica)</t>
        </is>
      </c>
      <c r="D54" s="11" t="inlineStr"/>
      <c r="E54" s="13" t="inlineStr">
        <is>
          <t>VS</t>
        </is>
      </c>
      <c r="F54" s="11" t="inlineStr"/>
      <c r="G54" s="13" t="inlineStr">
        <is>
          <t>TBD (dalla classifica)</t>
        </is>
      </c>
      <c r="H54" s="15" t="inlineStr">
        <is>
          <t>Finale 7°/8°</t>
        </is>
      </c>
      <c r="I54" s="12" t="inlineStr"/>
    </row>
    <row r="55" ht="19" customHeight="1">
      <c r="A55" s="9" t="n">
        <v>5</v>
      </c>
      <c r="B55" s="9" t="inlineStr">
        <is>
          <t>FIN</t>
        </is>
      </c>
      <c r="C55" s="9" t="inlineStr">
        <is>
          <t>TBD (dalla classifica)</t>
        </is>
      </c>
      <c r="D55" s="11" t="inlineStr"/>
      <c r="E55" s="9" t="inlineStr">
        <is>
          <t>VS</t>
        </is>
      </c>
      <c r="F55" s="11" t="inlineStr"/>
      <c r="G55" s="9" t="inlineStr">
        <is>
          <t>TBD (dalla classifica)</t>
        </is>
      </c>
      <c r="H55" s="15" t="inlineStr">
        <is>
          <t>Finale 9°/10°</t>
        </is>
      </c>
      <c r="I55" s="12" t="inlineStr"/>
    </row>
  </sheetData>
  <mergeCells count="3">
    <mergeCell ref="A1:I1"/>
    <mergeCell ref="A2:I2"/>
    <mergeCell ref="A49:I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I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8" customWidth="1" min="3" max="3"/>
    <col width="24" customWidth="1" min="4" max="4"/>
    <col width="8" customWidth="1" min="5" max="5"/>
    <col width="8" customWidth="1" min="6" max="6"/>
    <col width="8" customWidth="1" min="7" max="7"/>
    <col width="10" customWidth="1" min="8" max="8"/>
    <col width="16" customWidth="1" min="9" max="9"/>
  </cols>
  <sheetData>
    <row r="1" ht="28" customHeight="1">
      <c r="A1" s="6" t="inlineStr">
        <is>
          <t>KAIROS CUP 2025 — DATI GIOCATORI</t>
        </is>
      </c>
    </row>
    <row r="2" ht="20" customHeight="1">
      <c r="A2" s="8" t="inlineStr">
        <is>
          <t>#</t>
        </is>
      </c>
      <c r="B2" s="8" t="inlineStr">
        <is>
          <t>N°</t>
        </is>
      </c>
      <c r="C2" s="8" t="inlineStr">
        <is>
          <t>Cognome e Nome</t>
        </is>
      </c>
      <c r="D2" s="8" t="inlineStr">
        <is>
          <t>Squadra</t>
        </is>
      </c>
      <c r="E2" s="8" t="inlineStr">
        <is>
          <t>Gol</t>
        </is>
      </c>
      <c r="F2" s="8" t="inlineStr">
        <is>
          <t>Assist</t>
        </is>
      </c>
      <c r="G2" s="8" t="inlineStr">
        <is>
          <t>Voto (1-10)</t>
        </is>
      </c>
      <c r="H2" s="8" t="inlineStr">
        <is>
          <t>Presenze</t>
        </is>
      </c>
      <c r="I2" s="8" t="inlineStr">
        <is>
          <t>Ruolo</t>
        </is>
      </c>
    </row>
    <row r="3" ht="17" customHeight="1">
      <c r="A3" s="16" t="n">
        <v>1</v>
      </c>
      <c r="B3" s="17" t="n"/>
      <c r="C3" s="17" t="n"/>
      <c r="D3" s="17" t="n"/>
      <c r="E3" s="17" t="n"/>
      <c r="F3" s="17" t="n"/>
      <c r="G3" s="17" t="n"/>
      <c r="H3" s="17" t="n"/>
      <c r="I3" s="17" t="n"/>
    </row>
    <row r="4" ht="17" customHeight="1">
      <c r="A4" s="18" t="n">
        <v>2</v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 ht="17" customHeight="1">
      <c r="A5" s="16" t="n">
        <v>3</v>
      </c>
      <c r="B5" s="17" t="n"/>
      <c r="C5" s="17" t="n"/>
      <c r="D5" s="17" t="n"/>
      <c r="E5" s="17" t="n"/>
      <c r="F5" s="17" t="n"/>
      <c r="G5" s="17" t="n"/>
      <c r="H5" s="17" t="n"/>
      <c r="I5" s="17" t="n"/>
    </row>
    <row r="6" ht="17" customHeight="1">
      <c r="A6" s="18" t="n">
        <v>4</v>
      </c>
      <c r="B6" s="17" t="n"/>
      <c r="C6" s="17" t="n"/>
      <c r="D6" s="17" t="n"/>
      <c r="E6" s="17" t="n"/>
      <c r="F6" s="17" t="n"/>
      <c r="G6" s="17" t="n"/>
      <c r="H6" s="17" t="n"/>
      <c r="I6" s="17" t="n"/>
    </row>
    <row r="7" ht="17" customHeight="1">
      <c r="A7" s="16" t="n">
        <v>5</v>
      </c>
      <c r="B7" s="17" t="n"/>
      <c r="C7" s="17" t="n"/>
      <c r="D7" s="17" t="n"/>
      <c r="E7" s="17" t="n"/>
      <c r="F7" s="17" t="n"/>
      <c r="G7" s="17" t="n"/>
      <c r="H7" s="17" t="n"/>
      <c r="I7" s="17" t="n"/>
    </row>
    <row r="8" ht="17" customHeight="1">
      <c r="A8" s="18" t="n">
        <v>6</v>
      </c>
      <c r="B8" s="17" t="n"/>
      <c r="C8" s="17" t="n"/>
      <c r="D8" s="17" t="n"/>
      <c r="E8" s="17" t="n"/>
      <c r="F8" s="17" t="n"/>
      <c r="G8" s="17" t="n"/>
      <c r="H8" s="17" t="n"/>
      <c r="I8" s="17" t="n"/>
    </row>
    <row r="9" ht="17" customHeight="1">
      <c r="A9" s="16" t="n">
        <v>7</v>
      </c>
      <c r="B9" s="17" t="n"/>
      <c r="C9" s="17" t="n"/>
      <c r="D9" s="17" t="n"/>
      <c r="E9" s="17" t="n"/>
      <c r="F9" s="17" t="n"/>
      <c r="G9" s="17" t="n"/>
      <c r="H9" s="17" t="n"/>
      <c r="I9" s="17" t="n"/>
    </row>
    <row r="10" ht="17" customHeight="1">
      <c r="A10" s="18" t="n">
        <v>8</v>
      </c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 ht="17" customHeight="1">
      <c r="A11" s="16" t="n">
        <v>9</v>
      </c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 ht="17" customHeight="1">
      <c r="A12" s="18" t="n">
        <v>10</v>
      </c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 ht="17" customHeight="1">
      <c r="A13" s="16" t="n">
        <v>11</v>
      </c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 ht="17" customHeight="1">
      <c r="A14" s="18" t="n">
        <v>12</v>
      </c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 ht="17" customHeight="1">
      <c r="A15" s="16" t="n">
        <v>13</v>
      </c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 ht="17" customHeight="1">
      <c r="A16" s="18" t="n">
        <v>14</v>
      </c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17" customHeight="1">
      <c r="A17" s="16" t="n">
        <v>15</v>
      </c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 ht="17" customHeight="1">
      <c r="A18" s="18" t="n">
        <v>16</v>
      </c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 ht="17" customHeight="1">
      <c r="A19" s="16" t="n">
        <v>17</v>
      </c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 ht="17" customHeight="1">
      <c r="A20" s="18" t="n">
        <v>18</v>
      </c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 ht="17" customHeight="1">
      <c r="A21" s="16" t="n">
        <v>19</v>
      </c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 ht="17" customHeight="1">
      <c r="A22" s="18" t="n">
        <v>20</v>
      </c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 ht="17" customHeight="1">
      <c r="A23" s="16" t="n">
        <v>21</v>
      </c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 ht="17" customHeight="1">
      <c r="A24" s="18" t="n">
        <v>22</v>
      </c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 ht="17" customHeight="1">
      <c r="A25" s="16" t="n">
        <v>23</v>
      </c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 ht="17" customHeight="1">
      <c r="A26" s="18" t="n">
        <v>24</v>
      </c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 ht="17" customHeight="1">
      <c r="A27" s="16" t="n">
        <v>25</v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 ht="17" customHeight="1">
      <c r="A28" s="18" t="n">
        <v>26</v>
      </c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 ht="17" customHeight="1">
      <c r="A29" s="16" t="n">
        <v>27</v>
      </c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 ht="17" customHeight="1">
      <c r="A30" s="18" t="n">
        <v>28</v>
      </c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 ht="17" customHeight="1">
      <c r="A31" s="16" t="n">
        <v>29</v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 ht="17" customHeight="1">
      <c r="A32" s="18" t="n">
        <v>30</v>
      </c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 ht="17" customHeight="1">
      <c r="A33" s="16" t="n">
        <v>31</v>
      </c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 ht="17" customHeight="1">
      <c r="A34" s="18" t="n">
        <v>32</v>
      </c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 ht="17" customHeight="1">
      <c r="A35" s="16" t="n">
        <v>33</v>
      </c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 ht="17" customHeight="1">
      <c r="A36" s="18" t="n">
        <v>34</v>
      </c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 ht="17" customHeight="1">
      <c r="A37" s="16" t="n">
        <v>35</v>
      </c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 ht="17" customHeight="1">
      <c r="A38" s="18" t="n">
        <v>36</v>
      </c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 ht="17" customHeight="1">
      <c r="A39" s="16" t="n">
        <v>37</v>
      </c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 ht="17" customHeight="1">
      <c r="A40" s="18" t="n">
        <v>38</v>
      </c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 ht="17" customHeight="1">
      <c r="A41" s="16" t="n">
        <v>39</v>
      </c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 ht="17" customHeight="1">
      <c r="A42" s="18" t="n">
        <v>40</v>
      </c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 ht="17" customHeight="1">
      <c r="A43" s="16" t="n">
        <v>41</v>
      </c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 ht="17" customHeight="1">
      <c r="A44" s="18" t="n">
        <v>42</v>
      </c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 ht="17" customHeight="1">
      <c r="A45" s="16" t="n">
        <v>43</v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 ht="17" customHeight="1">
      <c r="A46" s="18" t="n">
        <v>44</v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 ht="17" customHeight="1">
      <c r="A47" s="16" t="n">
        <v>45</v>
      </c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 ht="17" customHeight="1">
      <c r="A48" s="18" t="n">
        <v>46</v>
      </c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 ht="17" customHeight="1">
      <c r="A49" s="16" t="n">
        <v>47</v>
      </c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 ht="17" customHeight="1">
      <c r="A50" s="18" t="n">
        <v>48</v>
      </c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 ht="17" customHeight="1">
      <c r="A51" s="16" t="n">
        <v>49</v>
      </c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 ht="17" customHeight="1">
      <c r="A52" s="18" t="n">
        <v>50</v>
      </c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 ht="17" customHeight="1">
      <c r="A53" s="16" t="n">
        <v>51</v>
      </c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 ht="17" customHeight="1">
      <c r="A54" s="18" t="n">
        <v>52</v>
      </c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 ht="17" customHeight="1">
      <c r="A55" s="16" t="n">
        <v>53</v>
      </c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 ht="17" customHeight="1">
      <c r="A56" s="18" t="n">
        <v>54</v>
      </c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 ht="17" customHeight="1">
      <c r="A57" s="16" t="n">
        <v>55</v>
      </c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 ht="17" customHeight="1">
      <c r="A58" s="18" t="n">
        <v>56</v>
      </c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 ht="17" customHeight="1">
      <c r="A59" s="16" t="n">
        <v>57</v>
      </c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 ht="17" customHeight="1">
      <c r="A60" s="18" t="n">
        <v>58</v>
      </c>
      <c r="B60" s="17" t="n"/>
      <c r="C60" s="17" t="n"/>
      <c r="D60" s="17" t="n"/>
      <c r="E60" s="17" t="n"/>
      <c r="F60" s="17" t="n"/>
      <c r="G60" s="17" t="n"/>
      <c r="H60" s="17" t="n"/>
      <c r="I60" s="17" t="n"/>
    </row>
    <row r="61" ht="17" customHeight="1">
      <c r="A61" s="16" t="n">
        <v>59</v>
      </c>
      <c r="B61" s="17" t="n"/>
      <c r="C61" s="17" t="n"/>
      <c r="D61" s="17" t="n"/>
      <c r="E61" s="17" t="n"/>
      <c r="F61" s="17" t="n"/>
      <c r="G61" s="17" t="n"/>
      <c r="H61" s="17" t="n"/>
      <c r="I61" s="17" t="n"/>
    </row>
    <row r="62" ht="17" customHeight="1">
      <c r="A62" s="18" t="n">
        <v>60</v>
      </c>
      <c r="B62" s="17" t="n"/>
      <c r="C62" s="17" t="n"/>
      <c r="D62" s="17" t="n"/>
      <c r="E62" s="17" t="n"/>
      <c r="F62" s="17" t="n"/>
      <c r="G62" s="17" t="n"/>
      <c r="H62" s="17" t="n"/>
      <c r="I62" s="17" t="n"/>
    </row>
    <row r="63" ht="17" customHeight="1">
      <c r="A63" s="16" t="n">
        <v>61</v>
      </c>
      <c r="B63" s="17" t="n"/>
      <c r="C63" s="17" t="n"/>
      <c r="D63" s="17" t="n"/>
      <c r="E63" s="17" t="n"/>
      <c r="F63" s="17" t="n"/>
      <c r="G63" s="17" t="n"/>
      <c r="H63" s="17" t="n"/>
      <c r="I63" s="17" t="n"/>
    </row>
    <row r="64" ht="17" customHeight="1">
      <c r="A64" s="18" t="n">
        <v>62</v>
      </c>
      <c r="B64" s="17" t="n"/>
      <c r="C64" s="17" t="n"/>
      <c r="D64" s="17" t="n"/>
      <c r="E64" s="17" t="n"/>
      <c r="F64" s="17" t="n"/>
      <c r="G64" s="17" t="n"/>
      <c r="H64" s="17" t="n"/>
      <c r="I64" s="17" t="n"/>
    </row>
    <row r="65" ht="17" customHeight="1">
      <c r="A65" s="16" t="n">
        <v>63</v>
      </c>
      <c r="B65" s="17" t="n"/>
      <c r="C65" s="17" t="n"/>
      <c r="D65" s="17" t="n"/>
      <c r="E65" s="17" t="n"/>
      <c r="F65" s="17" t="n"/>
      <c r="G65" s="17" t="n"/>
      <c r="H65" s="17" t="n"/>
      <c r="I65" s="17" t="n"/>
    </row>
    <row r="66" ht="17" customHeight="1">
      <c r="A66" s="18" t="n">
        <v>64</v>
      </c>
      <c r="B66" s="17" t="n"/>
      <c r="C66" s="17" t="n"/>
      <c r="D66" s="17" t="n"/>
      <c r="E66" s="17" t="n"/>
      <c r="F66" s="17" t="n"/>
      <c r="G66" s="17" t="n"/>
      <c r="H66" s="17" t="n"/>
      <c r="I66" s="17" t="n"/>
    </row>
    <row r="67" ht="17" customHeight="1">
      <c r="A67" s="16" t="n">
        <v>65</v>
      </c>
      <c r="B67" s="17" t="n"/>
      <c r="C67" s="17" t="n"/>
      <c r="D67" s="17" t="n"/>
      <c r="E67" s="17" t="n"/>
      <c r="F67" s="17" t="n"/>
      <c r="G67" s="17" t="n"/>
      <c r="H67" s="17" t="n"/>
      <c r="I67" s="17" t="n"/>
    </row>
    <row r="68" ht="17" customHeight="1">
      <c r="A68" s="18" t="n">
        <v>66</v>
      </c>
      <c r="B68" s="17" t="n"/>
      <c r="C68" s="17" t="n"/>
      <c r="D68" s="17" t="n"/>
      <c r="E68" s="17" t="n"/>
      <c r="F68" s="17" t="n"/>
      <c r="G68" s="17" t="n"/>
      <c r="H68" s="17" t="n"/>
      <c r="I68" s="17" t="n"/>
    </row>
    <row r="69" ht="17" customHeight="1">
      <c r="A69" s="16" t="n">
        <v>67</v>
      </c>
      <c r="B69" s="17" t="n"/>
      <c r="C69" s="17" t="n"/>
      <c r="D69" s="17" t="n"/>
      <c r="E69" s="17" t="n"/>
      <c r="F69" s="17" t="n"/>
      <c r="G69" s="17" t="n"/>
      <c r="H69" s="17" t="n"/>
      <c r="I69" s="17" t="n"/>
    </row>
    <row r="70" ht="17" customHeight="1">
      <c r="A70" s="18" t="n">
        <v>68</v>
      </c>
      <c r="B70" s="17" t="n"/>
      <c r="C70" s="17" t="n"/>
      <c r="D70" s="17" t="n"/>
      <c r="E70" s="17" t="n"/>
      <c r="F70" s="17" t="n"/>
      <c r="G70" s="17" t="n"/>
      <c r="H70" s="17" t="n"/>
      <c r="I70" s="17" t="n"/>
    </row>
    <row r="71" ht="17" customHeight="1">
      <c r="A71" s="16" t="n">
        <v>69</v>
      </c>
      <c r="B71" s="17" t="n"/>
      <c r="C71" s="17" t="n"/>
      <c r="D71" s="17" t="n"/>
      <c r="E71" s="17" t="n"/>
      <c r="F71" s="17" t="n"/>
      <c r="G71" s="17" t="n"/>
      <c r="H71" s="17" t="n"/>
      <c r="I71" s="17" t="n"/>
    </row>
    <row r="72" ht="17" customHeight="1">
      <c r="A72" s="18" t="n">
        <v>70</v>
      </c>
      <c r="B72" s="17" t="n"/>
      <c r="C72" s="17" t="n"/>
      <c r="D72" s="17" t="n"/>
      <c r="E72" s="17" t="n"/>
      <c r="F72" s="17" t="n"/>
      <c r="G72" s="17" t="n"/>
      <c r="H72" s="17" t="n"/>
      <c r="I72" s="17" t="n"/>
    </row>
    <row r="73" ht="17" customHeight="1">
      <c r="A73" s="16" t="n">
        <v>71</v>
      </c>
      <c r="B73" s="17" t="n"/>
      <c r="C73" s="17" t="n"/>
      <c r="D73" s="17" t="n"/>
      <c r="E73" s="17" t="n"/>
      <c r="F73" s="17" t="n"/>
      <c r="G73" s="17" t="n"/>
      <c r="H73" s="17" t="n"/>
      <c r="I73" s="17" t="n"/>
    </row>
    <row r="74" ht="17" customHeight="1">
      <c r="A74" s="18" t="n">
        <v>72</v>
      </c>
      <c r="B74" s="17" t="n"/>
      <c r="C74" s="17" t="n"/>
      <c r="D74" s="17" t="n"/>
      <c r="E74" s="17" t="n"/>
      <c r="F74" s="17" t="n"/>
      <c r="G74" s="17" t="n"/>
      <c r="H74" s="17" t="n"/>
      <c r="I74" s="17" t="n"/>
    </row>
    <row r="75" ht="17" customHeight="1">
      <c r="A75" s="16" t="n">
        <v>73</v>
      </c>
      <c r="B75" s="17" t="n"/>
      <c r="C75" s="17" t="n"/>
      <c r="D75" s="17" t="n"/>
      <c r="E75" s="17" t="n"/>
      <c r="F75" s="17" t="n"/>
      <c r="G75" s="17" t="n"/>
      <c r="H75" s="17" t="n"/>
      <c r="I75" s="17" t="n"/>
    </row>
    <row r="76" ht="17" customHeight="1">
      <c r="A76" s="18" t="n">
        <v>74</v>
      </c>
      <c r="B76" s="17" t="n"/>
      <c r="C76" s="17" t="n"/>
      <c r="D76" s="17" t="n"/>
      <c r="E76" s="17" t="n"/>
      <c r="F76" s="17" t="n"/>
      <c r="G76" s="17" t="n"/>
      <c r="H76" s="17" t="n"/>
      <c r="I76" s="17" t="n"/>
    </row>
    <row r="77" ht="17" customHeight="1">
      <c r="A77" s="16" t="n">
        <v>75</v>
      </c>
      <c r="B77" s="17" t="n"/>
      <c r="C77" s="17" t="n"/>
      <c r="D77" s="17" t="n"/>
      <c r="E77" s="17" t="n"/>
      <c r="F77" s="17" t="n"/>
      <c r="G77" s="17" t="n"/>
      <c r="H77" s="17" t="n"/>
      <c r="I77" s="17" t="n"/>
    </row>
    <row r="78" ht="17" customHeight="1">
      <c r="A78" s="18" t="n">
        <v>76</v>
      </c>
      <c r="B78" s="17" t="n"/>
      <c r="C78" s="17" t="n"/>
      <c r="D78" s="17" t="n"/>
      <c r="E78" s="17" t="n"/>
      <c r="F78" s="17" t="n"/>
      <c r="G78" s="17" t="n"/>
      <c r="H78" s="17" t="n"/>
      <c r="I78" s="17" t="n"/>
    </row>
    <row r="79" ht="17" customHeight="1">
      <c r="A79" s="16" t="n">
        <v>77</v>
      </c>
      <c r="B79" s="17" t="n"/>
      <c r="C79" s="17" t="n"/>
      <c r="D79" s="17" t="n"/>
      <c r="E79" s="17" t="n"/>
      <c r="F79" s="17" t="n"/>
      <c r="G79" s="17" t="n"/>
      <c r="H79" s="17" t="n"/>
      <c r="I79" s="17" t="n"/>
    </row>
    <row r="80" ht="17" customHeight="1">
      <c r="A80" s="18" t="n">
        <v>78</v>
      </c>
      <c r="B80" s="17" t="n"/>
      <c r="C80" s="17" t="n"/>
      <c r="D80" s="17" t="n"/>
      <c r="E80" s="17" t="n"/>
      <c r="F80" s="17" t="n"/>
      <c r="G80" s="17" t="n"/>
      <c r="H80" s="17" t="n"/>
      <c r="I80" s="17" t="n"/>
    </row>
    <row r="81" ht="17" customHeight="1">
      <c r="A81" s="16" t="n">
        <v>79</v>
      </c>
      <c r="B81" s="17" t="n"/>
      <c r="C81" s="17" t="n"/>
      <c r="D81" s="17" t="n"/>
      <c r="E81" s="17" t="n"/>
      <c r="F81" s="17" t="n"/>
      <c r="G81" s="17" t="n"/>
      <c r="H81" s="17" t="n"/>
      <c r="I81" s="17" t="n"/>
    </row>
    <row r="82" ht="17" customHeight="1">
      <c r="A82" s="18" t="n">
        <v>80</v>
      </c>
      <c r="B82" s="17" t="n"/>
      <c r="C82" s="17" t="n"/>
      <c r="D82" s="17" t="n"/>
      <c r="E82" s="17" t="n"/>
      <c r="F82" s="17" t="n"/>
      <c r="G82" s="17" t="n"/>
      <c r="H82" s="17" t="n"/>
      <c r="I82" s="17" t="n"/>
    </row>
    <row r="83" ht="17" customHeight="1">
      <c r="A83" s="16" t="n">
        <v>81</v>
      </c>
      <c r="B83" s="17" t="n"/>
      <c r="C83" s="17" t="n"/>
      <c r="D83" s="17" t="n"/>
      <c r="E83" s="17" t="n"/>
      <c r="F83" s="17" t="n"/>
      <c r="G83" s="17" t="n"/>
      <c r="H83" s="17" t="n"/>
      <c r="I83" s="17" t="n"/>
    </row>
    <row r="84" ht="17" customHeight="1">
      <c r="A84" s="18" t="n">
        <v>82</v>
      </c>
      <c r="B84" s="17" t="n"/>
      <c r="C84" s="17" t="n"/>
      <c r="D84" s="17" t="n"/>
      <c r="E84" s="17" t="n"/>
      <c r="F84" s="17" t="n"/>
      <c r="G84" s="17" t="n"/>
      <c r="H84" s="17" t="n"/>
      <c r="I84" s="17" t="n"/>
    </row>
    <row r="85" ht="17" customHeight="1">
      <c r="A85" s="16" t="n">
        <v>83</v>
      </c>
      <c r="B85" s="17" t="n"/>
      <c r="C85" s="17" t="n"/>
      <c r="D85" s="17" t="n"/>
      <c r="E85" s="17" t="n"/>
      <c r="F85" s="17" t="n"/>
      <c r="G85" s="17" t="n"/>
      <c r="H85" s="17" t="n"/>
      <c r="I85" s="17" t="n"/>
    </row>
    <row r="86" ht="17" customHeight="1">
      <c r="A86" s="18" t="n">
        <v>84</v>
      </c>
      <c r="B86" s="17" t="n"/>
      <c r="C86" s="17" t="n"/>
      <c r="D86" s="17" t="n"/>
      <c r="E86" s="17" t="n"/>
      <c r="F86" s="17" t="n"/>
      <c r="G86" s="17" t="n"/>
      <c r="H86" s="17" t="n"/>
      <c r="I86" s="17" t="n"/>
    </row>
    <row r="87" ht="17" customHeight="1">
      <c r="A87" s="16" t="n">
        <v>85</v>
      </c>
      <c r="B87" s="17" t="n"/>
      <c r="C87" s="17" t="n"/>
      <c r="D87" s="17" t="n"/>
      <c r="E87" s="17" t="n"/>
      <c r="F87" s="17" t="n"/>
      <c r="G87" s="17" t="n"/>
      <c r="H87" s="17" t="n"/>
      <c r="I87" s="17" t="n"/>
    </row>
    <row r="88" ht="17" customHeight="1">
      <c r="A88" s="18" t="n">
        <v>86</v>
      </c>
      <c r="B88" s="17" t="n"/>
      <c r="C88" s="17" t="n"/>
      <c r="D88" s="17" t="n"/>
      <c r="E88" s="17" t="n"/>
      <c r="F88" s="17" t="n"/>
      <c r="G88" s="17" t="n"/>
      <c r="H88" s="17" t="n"/>
      <c r="I88" s="17" t="n"/>
    </row>
    <row r="89" ht="17" customHeight="1">
      <c r="A89" s="16" t="n">
        <v>87</v>
      </c>
      <c r="B89" s="17" t="n"/>
      <c r="C89" s="17" t="n"/>
      <c r="D89" s="17" t="n"/>
      <c r="E89" s="17" t="n"/>
      <c r="F89" s="17" t="n"/>
      <c r="G89" s="17" t="n"/>
      <c r="H89" s="17" t="n"/>
      <c r="I89" s="17" t="n"/>
    </row>
    <row r="90" ht="17" customHeight="1">
      <c r="A90" s="18" t="n">
        <v>88</v>
      </c>
      <c r="B90" s="17" t="n"/>
      <c r="C90" s="17" t="n"/>
      <c r="D90" s="17" t="n"/>
      <c r="E90" s="17" t="n"/>
      <c r="F90" s="17" t="n"/>
      <c r="G90" s="17" t="n"/>
      <c r="H90" s="17" t="n"/>
      <c r="I90" s="17" t="n"/>
    </row>
    <row r="91" ht="17" customHeight="1">
      <c r="A91" s="16" t="n">
        <v>89</v>
      </c>
      <c r="B91" s="17" t="n"/>
      <c r="C91" s="17" t="n"/>
      <c r="D91" s="17" t="n"/>
      <c r="E91" s="17" t="n"/>
      <c r="F91" s="17" t="n"/>
      <c r="G91" s="17" t="n"/>
      <c r="H91" s="17" t="n"/>
      <c r="I91" s="17" t="n"/>
    </row>
    <row r="92" ht="17" customHeight="1">
      <c r="A92" s="18" t="n">
        <v>90</v>
      </c>
      <c r="B92" s="17" t="n"/>
      <c r="C92" s="17" t="n"/>
      <c r="D92" s="17" t="n"/>
      <c r="E92" s="17" t="n"/>
      <c r="F92" s="17" t="n"/>
      <c r="G92" s="17" t="n"/>
      <c r="H92" s="17" t="n"/>
      <c r="I92" s="17" t="n"/>
    </row>
    <row r="93" ht="17" customHeight="1">
      <c r="A93" s="16" t="n">
        <v>91</v>
      </c>
      <c r="B93" s="17" t="n"/>
      <c r="C93" s="17" t="n"/>
      <c r="D93" s="17" t="n"/>
      <c r="E93" s="17" t="n"/>
      <c r="F93" s="17" t="n"/>
      <c r="G93" s="17" t="n"/>
      <c r="H93" s="17" t="n"/>
      <c r="I93" s="17" t="n"/>
    </row>
    <row r="94" ht="17" customHeight="1">
      <c r="A94" s="18" t="n">
        <v>92</v>
      </c>
      <c r="B94" s="17" t="n"/>
      <c r="C94" s="17" t="n"/>
      <c r="D94" s="17" t="n"/>
      <c r="E94" s="17" t="n"/>
      <c r="F94" s="17" t="n"/>
      <c r="G94" s="17" t="n"/>
      <c r="H94" s="17" t="n"/>
      <c r="I94" s="17" t="n"/>
    </row>
    <row r="95" ht="17" customHeight="1">
      <c r="A95" s="16" t="n">
        <v>93</v>
      </c>
      <c r="B95" s="17" t="n"/>
      <c r="C95" s="17" t="n"/>
      <c r="D95" s="17" t="n"/>
      <c r="E95" s="17" t="n"/>
      <c r="F95" s="17" t="n"/>
      <c r="G95" s="17" t="n"/>
      <c r="H95" s="17" t="n"/>
      <c r="I95" s="17" t="n"/>
    </row>
    <row r="96" ht="17" customHeight="1">
      <c r="A96" s="18" t="n">
        <v>94</v>
      </c>
      <c r="B96" s="17" t="n"/>
      <c r="C96" s="17" t="n"/>
      <c r="D96" s="17" t="n"/>
      <c r="E96" s="17" t="n"/>
      <c r="F96" s="17" t="n"/>
      <c r="G96" s="17" t="n"/>
      <c r="H96" s="17" t="n"/>
      <c r="I96" s="17" t="n"/>
    </row>
    <row r="97" ht="17" customHeight="1">
      <c r="A97" s="16" t="n">
        <v>95</v>
      </c>
      <c r="B97" s="17" t="n"/>
      <c r="C97" s="17" t="n"/>
      <c r="D97" s="17" t="n"/>
      <c r="E97" s="17" t="n"/>
      <c r="F97" s="17" t="n"/>
      <c r="G97" s="17" t="n"/>
      <c r="H97" s="17" t="n"/>
      <c r="I97" s="17" t="n"/>
    </row>
    <row r="98" ht="17" customHeight="1">
      <c r="A98" s="18" t="n">
        <v>96</v>
      </c>
      <c r="B98" s="17" t="n"/>
      <c r="C98" s="17" t="n"/>
      <c r="D98" s="17" t="n"/>
      <c r="E98" s="17" t="n"/>
      <c r="F98" s="17" t="n"/>
      <c r="G98" s="17" t="n"/>
      <c r="H98" s="17" t="n"/>
      <c r="I98" s="17" t="n"/>
    </row>
    <row r="99" ht="17" customHeight="1">
      <c r="A99" s="16" t="n">
        <v>97</v>
      </c>
      <c r="B99" s="17" t="n"/>
      <c r="C99" s="17" t="n"/>
      <c r="D99" s="17" t="n"/>
      <c r="E99" s="17" t="n"/>
      <c r="F99" s="17" t="n"/>
      <c r="G99" s="17" t="n"/>
      <c r="H99" s="17" t="n"/>
      <c r="I99" s="17" t="n"/>
    </row>
    <row r="100" ht="17" customHeight="1">
      <c r="A100" s="18" t="n">
        <v>98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</row>
    <row r="101" ht="17" customHeight="1">
      <c r="A101" s="16" t="n">
        <v>99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</row>
    <row r="102" ht="17" customHeight="1">
      <c r="A102" s="18" t="n">
        <v>100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</row>
    <row r="103" ht="17" customHeight="1">
      <c r="A103" s="16" t="n">
        <v>101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</row>
    <row r="104" ht="17" customHeight="1">
      <c r="A104" s="18" t="n">
        <v>102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</row>
    <row r="105" ht="17" customHeight="1">
      <c r="A105" s="16" t="n">
        <v>103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</row>
    <row r="106" ht="17" customHeight="1">
      <c r="A106" s="18" t="n">
        <v>104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</row>
    <row r="107" ht="17" customHeight="1">
      <c r="A107" s="16" t="n">
        <v>105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</row>
    <row r="108" ht="17" customHeight="1">
      <c r="A108" s="18" t="n">
        <v>106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</row>
    <row r="109" ht="17" customHeight="1">
      <c r="A109" s="16" t="n">
        <v>107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</row>
    <row r="110" ht="17" customHeight="1">
      <c r="A110" s="18" t="n">
        <v>108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</row>
    <row r="111" ht="17" customHeight="1">
      <c r="A111" s="16" t="n">
        <v>109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</row>
    <row r="112" ht="17" customHeight="1">
      <c r="A112" s="18" t="n">
        <v>110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</row>
    <row r="113" ht="17" customHeight="1">
      <c r="A113" s="16" t="n">
        <v>111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</row>
    <row r="114" ht="17" customHeight="1">
      <c r="A114" s="18" t="n">
        <v>112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</row>
    <row r="115" ht="17" customHeight="1">
      <c r="A115" s="16" t="n">
        <v>113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</row>
    <row r="116" ht="17" customHeight="1">
      <c r="A116" s="18" t="n">
        <v>114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</row>
    <row r="117" ht="17" customHeight="1">
      <c r="A117" s="16" t="n">
        <v>115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</row>
    <row r="118" ht="17" customHeight="1">
      <c r="A118" s="18" t="n">
        <v>116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</row>
    <row r="119" ht="17" customHeight="1">
      <c r="A119" s="16" t="n">
        <v>117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</row>
    <row r="120" ht="17" customHeight="1">
      <c r="A120" s="18" t="n">
        <v>118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</row>
    <row r="121" ht="17" customHeight="1">
      <c r="A121" s="16" t="n">
        <v>119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</row>
    <row r="122" ht="17" customHeight="1">
      <c r="A122" s="18" t="n">
        <v>120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</row>
    <row r="123" ht="17" customHeight="1">
      <c r="A123" s="16" t="n">
        <v>121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</row>
    <row r="124" ht="17" customHeight="1">
      <c r="A124" s="18" t="n">
        <v>122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</row>
    <row r="125" ht="17" customHeight="1">
      <c r="A125" s="16" t="n">
        <v>123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</row>
    <row r="126" ht="17" customHeight="1">
      <c r="A126" s="18" t="n">
        <v>124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</row>
    <row r="127" ht="17" customHeight="1">
      <c r="A127" s="16" t="n">
        <v>125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</row>
    <row r="128" ht="17" customHeight="1">
      <c r="A128" s="18" t="n">
        <v>126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</row>
    <row r="129" ht="17" customHeight="1">
      <c r="A129" s="16" t="n">
        <v>127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</row>
    <row r="130" ht="17" customHeight="1">
      <c r="A130" s="18" t="n">
        <v>128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</row>
    <row r="131" ht="17" customHeight="1">
      <c r="A131" s="16" t="n">
        <v>129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</row>
    <row r="132" ht="17" customHeight="1">
      <c r="A132" s="18" t="n">
        <v>130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</row>
    <row r="133" ht="17" customHeight="1">
      <c r="A133" s="16" t="n">
        <v>131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</row>
    <row r="134" ht="17" customHeight="1">
      <c r="A134" s="18" t="n">
        <v>132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</row>
    <row r="135" ht="17" customHeight="1">
      <c r="A135" s="16" t="n">
        <v>133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</row>
    <row r="136" ht="17" customHeight="1">
      <c r="A136" s="18" t="n">
        <v>134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</row>
    <row r="137" ht="17" customHeight="1">
      <c r="A137" s="16" t="n">
        <v>135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</row>
    <row r="138" ht="17" customHeight="1">
      <c r="A138" s="18" t="n">
        <v>136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</row>
    <row r="139" ht="17" customHeight="1">
      <c r="A139" s="16" t="n">
        <v>137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</row>
    <row r="140" ht="17" customHeight="1">
      <c r="A140" s="18" t="n">
        <v>138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</row>
    <row r="141" ht="17" customHeight="1">
      <c r="A141" s="16" t="n">
        <v>139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</row>
    <row r="142" ht="17" customHeight="1">
      <c r="A142" s="18" t="n">
        <v>140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</row>
    <row r="143" ht="17" customHeight="1">
      <c r="A143" s="16" t="n">
        <v>141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</row>
    <row r="144" ht="17" customHeight="1">
      <c r="A144" s="18" t="n">
        <v>142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</row>
    <row r="145" ht="17" customHeight="1">
      <c r="A145" s="16" t="n">
        <v>143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</row>
    <row r="146" ht="17" customHeight="1">
      <c r="A146" s="18" t="n">
        <v>144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</row>
    <row r="147" ht="17" customHeight="1">
      <c r="A147" s="16" t="n">
        <v>145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</row>
    <row r="148" ht="17" customHeight="1">
      <c r="A148" s="18" t="n">
        <v>146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</row>
    <row r="149" ht="17" customHeight="1">
      <c r="A149" s="16" t="n">
        <v>147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</row>
    <row r="150" ht="17" customHeight="1">
      <c r="A150" s="18" t="n">
        <v>148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</row>
    <row r="151" ht="17" customHeight="1">
      <c r="A151" s="16" t="n">
        <v>149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</row>
    <row r="152" ht="17" customHeight="1">
      <c r="A152" s="18" t="n">
        <v>150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</row>
    <row r="153" ht="17" customHeight="1">
      <c r="A153" s="16" t="n">
        <v>151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</row>
    <row r="154" ht="17" customHeight="1">
      <c r="A154" s="18" t="n">
        <v>152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</row>
    <row r="155" ht="17" customHeight="1">
      <c r="A155" s="16" t="n">
        <v>153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</row>
    <row r="156" ht="17" customHeight="1">
      <c r="A156" s="18" t="n">
        <v>154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</row>
    <row r="157" ht="17" customHeight="1">
      <c r="A157" s="16" t="n">
        <v>155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</row>
    <row r="158" ht="17" customHeight="1">
      <c r="A158" s="18" t="n">
        <v>156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</row>
    <row r="159" ht="17" customHeight="1">
      <c r="A159" s="16" t="n">
        <v>157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</row>
    <row r="160" ht="17" customHeight="1">
      <c r="A160" s="18" t="n">
        <v>158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</row>
    <row r="161" ht="17" customHeight="1">
      <c r="A161" s="16" t="n">
        <v>159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</row>
    <row r="162" ht="17" customHeight="1">
      <c r="A162" s="18" t="n">
        <v>160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</row>
    <row r="163" ht="17" customHeight="1">
      <c r="A163" s="16" t="n">
        <v>161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</row>
    <row r="164" ht="17" customHeight="1">
      <c r="A164" s="18" t="n">
        <v>162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</row>
    <row r="165" ht="17" customHeight="1">
      <c r="A165" s="16" t="n">
        <v>163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</row>
    <row r="166" ht="17" customHeight="1">
      <c r="A166" s="18" t="n">
        <v>164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</row>
    <row r="167" ht="17" customHeight="1">
      <c r="A167" s="16" t="n">
        <v>165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</row>
    <row r="168" ht="17" customHeight="1">
      <c r="A168" s="18" t="n">
        <v>166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</row>
    <row r="169" ht="17" customHeight="1">
      <c r="A169" s="16" t="n">
        <v>167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</row>
    <row r="170" ht="17" customHeight="1">
      <c r="A170" s="18" t="n">
        <v>168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</row>
    <row r="171" ht="17" customHeight="1">
      <c r="A171" s="16" t="n">
        <v>169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</row>
    <row r="172" ht="17" customHeight="1">
      <c r="A172" s="18" t="n">
        <v>170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</row>
    <row r="173" ht="17" customHeight="1">
      <c r="A173" s="16" t="n">
        <v>171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</row>
    <row r="174" ht="17" customHeight="1">
      <c r="A174" s="18" t="n">
        <v>172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</row>
    <row r="175" ht="17" customHeight="1">
      <c r="A175" s="16" t="n">
        <v>173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</row>
    <row r="176" ht="17" customHeight="1">
      <c r="A176" s="18" t="n">
        <v>174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</row>
    <row r="177" ht="17" customHeight="1">
      <c r="A177" s="16" t="n">
        <v>175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</row>
    <row r="178" ht="17" customHeight="1">
      <c r="A178" s="18" t="n">
        <v>176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</row>
    <row r="179" ht="17" customHeight="1">
      <c r="A179" s="16" t="n">
        <v>177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</row>
    <row r="180" ht="17" customHeight="1">
      <c r="A180" s="18" t="n">
        <v>178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</row>
    <row r="181" ht="17" customHeight="1">
      <c r="A181" s="16" t="n">
        <v>179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</row>
    <row r="182" ht="17" customHeight="1">
      <c r="A182" s="18" t="n">
        <v>180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</row>
    <row r="183" ht="17" customHeight="1">
      <c r="A183" s="16" t="n">
        <v>181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</row>
    <row r="184" ht="17" customHeight="1">
      <c r="A184" s="18" t="n">
        <v>182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</row>
    <row r="185" ht="17" customHeight="1">
      <c r="A185" s="16" t="n">
        <v>183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</row>
    <row r="186" ht="17" customHeight="1">
      <c r="A186" s="18" t="n">
        <v>184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</row>
    <row r="187" ht="17" customHeight="1">
      <c r="A187" s="16" t="n">
        <v>185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</row>
    <row r="188" ht="17" customHeight="1">
      <c r="A188" s="18" t="n">
        <v>186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</row>
    <row r="189" ht="17" customHeight="1">
      <c r="A189" s="16" t="n">
        <v>187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</row>
    <row r="190" ht="17" customHeight="1">
      <c r="A190" s="18" t="n">
        <v>188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</row>
    <row r="191" ht="17" customHeight="1">
      <c r="A191" s="16" t="n">
        <v>189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</row>
    <row r="192" ht="17" customHeight="1">
      <c r="A192" s="18" t="n">
        <v>190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</row>
    <row r="193" ht="17" customHeight="1">
      <c r="A193" s="16" t="n">
        <v>191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</row>
    <row r="194" ht="17" customHeight="1">
      <c r="A194" s="18" t="n">
        <v>192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</row>
    <row r="195" ht="17" customHeight="1">
      <c r="A195" s="16" t="n">
        <v>193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</row>
    <row r="196" ht="17" customHeight="1">
      <c r="A196" s="18" t="n">
        <v>194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</row>
    <row r="197" ht="17" customHeight="1">
      <c r="A197" s="16" t="n">
        <v>195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</row>
    <row r="198" ht="17" customHeight="1">
      <c r="A198" s="18" t="n">
        <v>196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</row>
    <row r="199" ht="17" customHeight="1">
      <c r="A199" s="16" t="n">
        <v>197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</row>
    <row r="200" ht="17" customHeight="1">
      <c r="A200" s="18" t="n">
        <v>198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</row>
    <row r="201" ht="17" customHeight="1">
      <c r="A201" s="16" t="n">
        <v>199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</row>
    <row r="202" ht="17" customHeight="1">
      <c r="A202" s="18" t="n">
        <v>200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</row>
  </sheetData>
  <mergeCells count="1">
    <mergeCell ref="A1:I1"/>
  </mergeCells>
  <dataValidations count="2">
    <dataValidation sqref="D3:D202" showDropDown="0" showInputMessage="0" showErrorMessage="1" allowBlank="1" type="list">
      <formula1>"Torino 1,Torino 2,Mestre 1,Venezia/Mestre,Merano,Pordenone,San Giorgio di Nogaro,Udine,Trieste 1,Trieste 2"</formula1>
    </dataValidation>
    <dataValidation sqref="I3:I202" showDropDown="0" showInputMessage="0" showErrorMessage="0" allowBlank="1" type="list">
      <formula1>"Portiere,Difensore,Centrocampista,Attaccante"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</t>
        </is>
      </c>
      <c r="B1" t="inlineStr">
        <is>
          <t>G</t>
        </is>
      </c>
      <c r="C1" t="inlineStr">
        <is>
          <t>V</t>
        </is>
      </c>
      <c r="D1" t="inlineStr">
        <is>
          <t>N</t>
        </is>
      </c>
      <c r="E1" t="inlineStr">
        <is>
          <t>P</t>
        </is>
      </c>
      <c r="F1" t="inlineStr">
        <is>
          <t>GF</t>
        </is>
      </c>
      <c r="G1" t="inlineStr">
        <is>
          <t>GS</t>
        </is>
      </c>
      <c r="H1" t="inlineStr">
        <is>
          <t>Pt</t>
        </is>
      </c>
      <c r="I1" t="inlineStr">
        <is>
          <t>Rank</t>
        </is>
      </c>
    </row>
    <row r="2">
      <c r="A2" t="inlineStr">
        <is>
          <t>Torino 1</t>
        </is>
      </c>
      <c r="B2">
        <f>COUNTIFS(PARTITE!C4:C48,A2,PARTITE!D4:D48,"&gt;="&amp;0,PARTITE!F4:F48,"&gt;="&amp;0)+COUNTIFS(PARTITE!G4:G48,A2,PARTITE!D4:D48,"&gt;="&amp;0,PARTITE!F4:F48,"&gt;="&amp;0)</f>
        <v/>
      </c>
      <c r="C2">
        <f>SUMPRODUCT((PARTITE!C4:C48=A2)*(ISNUMBER(PARTITE!D4:D48))*(ISNUMBER(PARTITE!F4:F48))*(PARTITE!D4:D48&gt;PARTITE!F4:F48))+SUMPRODUCT((PARTITE!G4:G48=A2)*(ISNUMBER(PARTITE!D4:D48))*(ISNUMBER(PARTITE!F4:F48))*(PARTITE!F4:F48&gt;PARTITE!D4:D48))</f>
        <v/>
      </c>
      <c r="D2">
        <f>SUMPRODUCT((PARTITE!C4:C48=A2)*(ISNUMBER(PARTITE!D4:D48))*(ISNUMBER(PARTITE!F4:F48))*(PARTITE!D4:D48=PARTITE!F4:F48))+SUMPRODUCT((PARTITE!G4:G48=A2)*(ISNUMBER(PARTITE!D4:D48))*(ISNUMBER(PARTITE!F4:F48))*(PARTITE!F4:F48=PARTITE!D4:D48))</f>
        <v/>
      </c>
      <c r="E2">
        <f>B2-C2-D2</f>
        <v/>
      </c>
      <c r="F2">
        <f>SUMIFS(PARTITE!D4:D48,PARTITE!C4:C48,A2)+SUMIFS(PARTITE!F4:F48,PARTITE!G4:G48,A2)</f>
        <v/>
      </c>
      <c r="G2">
        <f>SUMIFS(PARTITE!F4:F48,PARTITE!C4:C48,A2)+SUMIFS(PARTITE!D4:D48,PARTITE!G4:G48,A2)</f>
        <v/>
      </c>
      <c r="H2">
        <f>C2*3+D2</f>
        <v/>
      </c>
      <c r="I2">
        <f>RANK(H2,H$2:H$11,0)</f>
        <v/>
      </c>
    </row>
    <row r="3">
      <c r="A3" t="inlineStr">
        <is>
          <t>Torino 2</t>
        </is>
      </c>
      <c r="B3">
        <f>COUNTIFS(PARTITE!C4:C48,A3,PARTITE!D4:D48,"&gt;="&amp;0,PARTITE!F4:F48,"&gt;="&amp;0)+COUNTIFS(PARTITE!G4:G48,A3,PARTITE!D4:D48,"&gt;="&amp;0,PARTITE!F4:F48,"&gt;="&amp;0)</f>
        <v/>
      </c>
      <c r="C3">
        <f>SUMPRODUCT((PARTITE!C4:C48=A3)*(ISNUMBER(PARTITE!D4:D48))*(ISNUMBER(PARTITE!F4:F48))*(PARTITE!D4:D48&gt;PARTITE!F4:F48))+SUMPRODUCT((PARTITE!G4:G48=A3)*(ISNUMBER(PARTITE!D4:D48))*(ISNUMBER(PARTITE!F4:F48))*(PARTITE!F4:F48&gt;PARTITE!D4:D48))</f>
        <v/>
      </c>
      <c r="D3">
        <f>SUMPRODUCT((PARTITE!C4:C48=A3)*(ISNUMBER(PARTITE!D4:D48))*(ISNUMBER(PARTITE!F4:F48))*(PARTITE!D4:D48=PARTITE!F4:F48))+SUMPRODUCT((PARTITE!G4:G48=A3)*(ISNUMBER(PARTITE!D4:D48))*(ISNUMBER(PARTITE!F4:F48))*(PARTITE!F4:F48=PARTITE!D4:D48))</f>
        <v/>
      </c>
      <c r="E3">
        <f>B3-C3-D3</f>
        <v/>
      </c>
      <c r="F3">
        <f>SUMIFS(PARTITE!D4:D48,PARTITE!C4:C48,A3)+SUMIFS(PARTITE!F4:F48,PARTITE!G4:G48,A3)</f>
        <v/>
      </c>
      <c r="G3">
        <f>SUMIFS(PARTITE!F4:F48,PARTITE!C4:C48,A3)+SUMIFS(PARTITE!D4:D48,PARTITE!G4:G48,A3)</f>
        <v/>
      </c>
      <c r="H3">
        <f>C3*3+D3</f>
        <v/>
      </c>
      <c r="I3">
        <f>RANK(H3,H$2:H$11,0)</f>
        <v/>
      </c>
    </row>
    <row r="4">
      <c r="A4" t="inlineStr">
        <is>
          <t>Mestre 1</t>
        </is>
      </c>
      <c r="B4">
        <f>COUNTIFS(PARTITE!C4:C48,A4,PARTITE!D4:D48,"&gt;="&amp;0,PARTITE!F4:F48,"&gt;="&amp;0)+COUNTIFS(PARTITE!G4:G48,A4,PARTITE!D4:D48,"&gt;="&amp;0,PARTITE!F4:F48,"&gt;="&amp;0)</f>
        <v/>
      </c>
      <c r="C4">
        <f>SUMPRODUCT((PARTITE!C4:C48=A4)*(ISNUMBER(PARTITE!D4:D48))*(ISNUMBER(PARTITE!F4:F48))*(PARTITE!D4:D48&gt;PARTITE!F4:F48))+SUMPRODUCT((PARTITE!G4:G48=A4)*(ISNUMBER(PARTITE!D4:D48))*(ISNUMBER(PARTITE!F4:F48))*(PARTITE!F4:F48&gt;PARTITE!D4:D48))</f>
        <v/>
      </c>
      <c r="D4">
        <f>SUMPRODUCT((PARTITE!C4:C48=A4)*(ISNUMBER(PARTITE!D4:D48))*(ISNUMBER(PARTITE!F4:F48))*(PARTITE!D4:D48=PARTITE!F4:F48))+SUMPRODUCT((PARTITE!G4:G48=A4)*(ISNUMBER(PARTITE!D4:D48))*(ISNUMBER(PARTITE!F4:F48))*(PARTITE!F4:F48=PARTITE!D4:D48))</f>
        <v/>
      </c>
      <c r="E4">
        <f>B4-C4-D4</f>
        <v/>
      </c>
      <c r="F4">
        <f>SUMIFS(PARTITE!D4:D48,PARTITE!C4:C48,A4)+SUMIFS(PARTITE!F4:F48,PARTITE!G4:G48,A4)</f>
        <v/>
      </c>
      <c r="G4">
        <f>SUMIFS(PARTITE!F4:F48,PARTITE!C4:C48,A4)+SUMIFS(PARTITE!D4:D48,PARTITE!G4:G48,A4)</f>
        <v/>
      </c>
      <c r="H4">
        <f>C4*3+D4</f>
        <v/>
      </c>
      <c r="I4">
        <f>RANK(H4,H$2:H$11,0)</f>
        <v/>
      </c>
    </row>
    <row r="5">
      <c r="A5" t="inlineStr">
        <is>
          <t>Venezia/Mestre</t>
        </is>
      </c>
      <c r="B5">
        <f>COUNTIFS(PARTITE!C4:C48,A5,PARTITE!D4:D48,"&gt;="&amp;0,PARTITE!F4:F48,"&gt;="&amp;0)+COUNTIFS(PARTITE!G4:G48,A5,PARTITE!D4:D48,"&gt;="&amp;0,PARTITE!F4:F48,"&gt;="&amp;0)</f>
        <v/>
      </c>
      <c r="C5">
        <f>SUMPRODUCT((PARTITE!C4:C48=A5)*(ISNUMBER(PARTITE!D4:D48))*(ISNUMBER(PARTITE!F4:F48))*(PARTITE!D4:D48&gt;PARTITE!F4:F48))+SUMPRODUCT((PARTITE!G4:G48=A5)*(ISNUMBER(PARTITE!D4:D48))*(ISNUMBER(PARTITE!F4:F48))*(PARTITE!F4:F48&gt;PARTITE!D4:D48))</f>
        <v/>
      </c>
      <c r="D5">
        <f>SUMPRODUCT((PARTITE!C4:C48=A5)*(ISNUMBER(PARTITE!D4:D48))*(ISNUMBER(PARTITE!F4:F48))*(PARTITE!D4:D48=PARTITE!F4:F48))+SUMPRODUCT((PARTITE!G4:G48=A5)*(ISNUMBER(PARTITE!D4:D48))*(ISNUMBER(PARTITE!F4:F48))*(PARTITE!F4:F48=PARTITE!D4:D48))</f>
        <v/>
      </c>
      <c r="E5">
        <f>B5-C5-D5</f>
        <v/>
      </c>
      <c r="F5">
        <f>SUMIFS(PARTITE!D4:D48,PARTITE!C4:C48,A5)+SUMIFS(PARTITE!F4:F48,PARTITE!G4:G48,A5)</f>
        <v/>
      </c>
      <c r="G5">
        <f>SUMIFS(PARTITE!F4:F48,PARTITE!C4:C48,A5)+SUMIFS(PARTITE!D4:D48,PARTITE!G4:G48,A5)</f>
        <v/>
      </c>
      <c r="H5">
        <f>C5*3+D5</f>
        <v/>
      </c>
      <c r="I5">
        <f>RANK(H5,H$2:H$11,0)</f>
        <v/>
      </c>
    </row>
    <row r="6">
      <c r="A6" t="inlineStr">
        <is>
          <t>Merano</t>
        </is>
      </c>
      <c r="B6">
        <f>COUNTIFS(PARTITE!C4:C48,A6,PARTITE!D4:D48,"&gt;="&amp;0,PARTITE!F4:F48,"&gt;="&amp;0)+COUNTIFS(PARTITE!G4:G48,A6,PARTITE!D4:D48,"&gt;="&amp;0,PARTITE!F4:F48,"&gt;="&amp;0)</f>
        <v/>
      </c>
      <c r="C6">
        <f>SUMPRODUCT((PARTITE!C4:C48=A6)*(ISNUMBER(PARTITE!D4:D48))*(ISNUMBER(PARTITE!F4:F48))*(PARTITE!D4:D48&gt;PARTITE!F4:F48))+SUMPRODUCT((PARTITE!G4:G48=A6)*(ISNUMBER(PARTITE!D4:D48))*(ISNUMBER(PARTITE!F4:F48))*(PARTITE!F4:F48&gt;PARTITE!D4:D48))</f>
        <v/>
      </c>
      <c r="D6">
        <f>SUMPRODUCT((PARTITE!C4:C48=A6)*(ISNUMBER(PARTITE!D4:D48))*(ISNUMBER(PARTITE!F4:F48))*(PARTITE!D4:D48=PARTITE!F4:F48))+SUMPRODUCT((PARTITE!G4:G48=A6)*(ISNUMBER(PARTITE!D4:D48))*(ISNUMBER(PARTITE!F4:F48))*(PARTITE!F4:F48=PARTITE!D4:D48))</f>
        <v/>
      </c>
      <c r="E6">
        <f>B6-C6-D6</f>
        <v/>
      </c>
      <c r="F6">
        <f>SUMIFS(PARTITE!D4:D48,PARTITE!C4:C48,A6)+SUMIFS(PARTITE!F4:F48,PARTITE!G4:G48,A6)</f>
        <v/>
      </c>
      <c r="G6">
        <f>SUMIFS(PARTITE!F4:F48,PARTITE!C4:C48,A6)+SUMIFS(PARTITE!D4:D48,PARTITE!G4:G48,A6)</f>
        <v/>
      </c>
      <c r="H6">
        <f>C6*3+D6</f>
        <v/>
      </c>
      <c r="I6">
        <f>RANK(H6,H$2:H$11,0)</f>
        <v/>
      </c>
    </row>
    <row r="7">
      <c r="A7" t="inlineStr">
        <is>
          <t>Pordenone</t>
        </is>
      </c>
      <c r="B7">
        <f>COUNTIFS(PARTITE!C4:C48,A7,PARTITE!D4:D48,"&gt;="&amp;0,PARTITE!F4:F48,"&gt;="&amp;0)+COUNTIFS(PARTITE!G4:G48,A7,PARTITE!D4:D48,"&gt;="&amp;0,PARTITE!F4:F48,"&gt;="&amp;0)</f>
        <v/>
      </c>
      <c r="C7">
        <f>SUMPRODUCT((PARTITE!C4:C48=A7)*(ISNUMBER(PARTITE!D4:D48))*(ISNUMBER(PARTITE!F4:F48))*(PARTITE!D4:D48&gt;PARTITE!F4:F48))+SUMPRODUCT((PARTITE!G4:G48=A7)*(ISNUMBER(PARTITE!D4:D48))*(ISNUMBER(PARTITE!F4:F48))*(PARTITE!F4:F48&gt;PARTITE!D4:D48))</f>
        <v/>
      </c>
      <c r="D7">
        <f>SUMPRODUCT((PARTITE!C4:C48=A7)*(ISNUMBER(PARTITE!D4:D48))*(ISNUMBER(PARTITE!F4:F48))*(PARTITE!D4:D48=PARTITE!F4:F48))+SUMPRODUCT((PARTITE!G4:G48=A7)*(ISNUMBER(PARTITE!D4:D48))*(ISNUMBER(PARTITE!F4:F48))*(PARTITE!F4:F48=PARTITE!D4:D48))</f>
        <v/>
      </c>
      <c r="E7">
        <f>B7-C7-D7</f>
        <v/>
      </c>
      <c r="F7">
        <f>SUMIFS(PARTITE!D4:D48,PARTITE!C4:C48,A7)+SUMIFS(PARTITE!F4:F48,PARTITE!G4:G48,A7)</f>
        <v/>
      </c>
      <c r="G7">
        <f>SUMIFS(PARTITE!F4:F48,PARTITE!C4:C48,A7)+SUMIFS(PARTITE!D4:D48,PARTITE!G4:G48,A7)</f>
        <v/>
      </c>
      <c r="H7">
        <f>C7*3+D7</f>
        <v/>
      </c>
      <c r="I7">
        <f>RANK(H7,H$2:H$11,0)</f>
        <v/>
      </c>
    </row>
    <row r="8">
      <c r="A8" t="inlineStr">
        <is>
          <t>San Giorgio di Nogaro</t>
        </is>
      </c>
      <c r="B8">
        <f>COUNTIFS(PARTITE!C4:C48,A8,PARTITE!D4:D48,"&gt;="&amp;0,PARTITE!F4:F48,"&gt;="&amp;0)+COUNTIFS(PARTITE!G4:G48,A8,PARTITE!D4:D48,"&gt;="&amp;0,PARTITE!F4:F48,"&gt;="&amp;0)</f>
        <v/>
      </c>
      <c r="C8">
        <f>SUMPRODUCT((PARTITE!C4:C48=A8)*(ISNUMBER(PARTITE!D4:D48))*(ISNUMBER(PARTITE!F4:F48))*(PARTITE!D4:D48&gt;PARTITE!F4:F48))+SUMPRODUCT((PARTITE!G4:G48=A8)*(ISNUMBER(PARTITE!D4:D48))*(ISNUMBER(PARTITE!F4:F48))*(PARTITE!F4:F48&gt;PARTITE!D4:D48))</f>
        <v/>
      </c>
      <c r="D8">
        <f>SUMPRODUCT((PARTITE!C4:C48=A8)*(ISNUMBER(PARTITE!D4:D48))*(ISNUMBER(PARTITE!F4:F48))*(PARTITE!D4:D48=PARTITE!F4:F48))+SUMPRODUCT((PARTITE!G4:G48=A8)*(ISNUMBER(PARTITE!D4:D48))*(ISNUMBER(PARTITE!F4:F48))*(PARTITE!F4:F48=PARTITE!D4:D48))</f>
        <v/>
      </c>
      <c r="E8">
        <f>B8-C8-D8</f>
        <v/>
      </c>
      <c r="F8">
        <f>SUMIFS(PARTITE!D4:D48,PARTITE!C4:C48,A8)+SUMIFS(PARTITE!F4:F48,PARTITE!G4:G48,A8)</f>
        <v/>
      </c>
      <c r="G8">
        <f>SUMIFS(PARTITE!F4:F48,PARTITE!C4:C48,A8)+SUMIFS(PARTITE!D4:D48,PARTITE!G4:G48,A8)</f>
        <v/>
      </c>
      <c r="H8">
        <f>C8*3+D8</f>
        <v/>
      </c>
      <c r="I8">
        <f>RANK(H8,H$2:H$11,0)</f>
        <v/>
      </c>
    </row>
    <row r="9">
      <c r="A9" t="inlineStr">
        <is>
          <t>Udine</t>
        </is>
      </c>
      <c r="B9">
        <f>COUNTIFS(PARTITE!C4:C48,A9,PARTITE!D4:D48,"&gt;="&amp;0,PARTITE!F4:F48,"&gt;="&amp;0)+COUNTIFS(PARTITE!G4:G48,A9,PARTITE!D4:D48,"&gt;="&amp;0,PARTITE!F4:F48,"&gt;="&amp;0)</f>
        <v/>
      </c>
      <c r="C9">
        <f>SUMPRODUCT((PARTITE!C4:C48=A9)*(ISNUMBER(PARTITE!D4:D48))*(ISNUMBER(PARTITE!F4:F48))*(PARTITE!D4:D48&gt;PARTITE!F4:F48))+SUMPRODUCT((PARTITE!G4:G48=A9)*(ISNUMBER(PARTITE!D4:D48))*(ISNUMBER(PARTITE!F4:F48))*(PARTITE!F4:F48&gt;PARTITE!D4:D48))</f>
        <v/>
      </c>
      <c r="D9">
        <f>SUMPRODUCT((PARTITE!C4:C48=A9)*(ISNUMBER(PARTITE!D4:D48))*(ISNUMBER(PARTITE!F4:F48))*(PARTITE!D4:D48=PARTITE!F4:F48))+SUMPRODUCT((PARTITE!G4:G48=A9)*(ISNUMBER(PARTITE!D4:D48))*(ISNUMBER(PARTITE!F4:F48))*(PARTITE!F4:F48=PARTITE!D4:D48))</f>
        <v/>
      </c>
      <c r="E9">
        <f>B9-C9-D9</f>
        <v/>
      </c>
      <c r="F9">
        <f>SUMIFS(PARTITE!D4:D48,PARTITE!C4:C48,A9)+SUMIFS(PARTITE!F4:F48,PARTITE!G4:G48,A9)</f>
        <v/>
      </c>
      <c r="G9">
        <f>SUMIFS(PARTITE!F4:F48,PARTITE!C4:C48,A9)+SUMIFS(PARTITE!D4:D48,PARTITE!G4:G48,A9)</f>
        <v/>
      </c>
      <c r="H9">
        <f>C9*3+D9</f>
        <v/>
      </c>
      <c r="I9">
        <f>RANK(H9,H$2:H$11,0)</f>
        <v/>
      </c>
    </row>
    <row r="10">
      <c r="A10" t="inlineStr">
        <is>
          <t>Trieste 1</t>
        </is>
      </c>
      <c r="B10">
        <f>COUNTIFS(PARTITE!C4:C48,A10,PARTITE!D4:D48,"&gt;="&amp;0,PARTITE!F4:F48,"&gt;="&amp;0)+COUNTIFS(PARTITE!G4:G48,A10,PARTITE!D4:D48,"&gt;="&amp;0,PARTITE!F4:F48,"&gt;="&amp;0)</f>
        <v/>
      </c>
      <c r="C10">
        <f>SUMPRODUCT((PARTITE!C4:C48=A10)*(ISNUMBER(PARTITE!D4:D48))*(ISNUMBER(PARTITE!F4:F48))*(PARTITE!D4:D48&gt;PARTITE!F4:F48))+SUMPRODUCT((PARTITE!G4:G48=A10)*(ISNUMBER(PARTITE!D4:D48))*(ISNUMBER(PARTITE!F4:F48))*(PARTITE!F4:F48&gt;PARTITE!D4:D48))</f>
        <v/>
      </c>
      <c r="D10">
        <f>SUMPRODUCT((PARTITE!C4:C48=A10)*(ISNUMBER(PARTITE!D4:D48))*(ISNUMBER(PARTITE!F4:F48))*(PARTITE!D4:D48=PARTITE!F4:F48))+SUMPRODUCT((PARTITE!G4:G48=A10)*(ISNUMBER(PARTITE!D4:D48))*(ISNUMBER(PARTITE!F4:F48))*(PARTITE!F4:F48=PARTITE!D4:D48))</f>
        <v/>
      </c>
      <c r="E10">
        <f>B10-C10-D10</f>
        <v/>
      </c>
      <c r="F10">
        <f>SUMIFS(PARTITE!D4:D48,PARTITE!C4:C48,A10)+SUMIFS(PARTITE!F4:F48,PARTITE!G4:G48,A10)</f>
        <v/>
      </c>
      <c r="G10">
        <f>SUMIFS(PARTITE!F4:F48,PARTITE!C4:C48,A10)+SUMIFS(PARTITE!D4:D48,PARTITE!G4:G48,A10)</f>
        <v/>
      </c>
      <c r="H10">
        <f>C10*3+D10</f>
        <v/>
      </c>
      <c r="I10">
        <f>RANK(H10,H$2:H$11,0)</f>
        <v/>
      </c>
    </row>
    <row r="11">
      <c r="A11" t="inlineStr">
        <is>
          <t>Trieste 2</t>
        </is>
      </c>
      <c r="B11">
        <f>COUNTIFS(PARTITE!C4:C48,A11,PARTITE!D4:D48,"&gt;="&amp;0,PARTITE!F4:F48,"&gt;="&amp;0)+COUNTIFS(PARTITE!G4:G48,A11,PARTITE!D4:D48,"&gt;="&amp;0,PARTITE!F4:F48,"&gt;="&amp;0)</f>
        <v/>
      </c>
      <c r="C11">
        <f>SUMPRODUCT((PARTITE!C4:C48=A11)*(ISNUMBER(PARTITE!D4:D48))*(ISNUMBER(PARTITE!F4:F48))*(PARTITE!D4:D48&gt;PARTITE!F4:F48))+SUMPRODUCT((PARTITE!G4:G48=A11)*(ISNUMBER(PARTITE!D4:D48))*(ISNUMBER(PARTITE!F4:F48))*(PARTITE!F4:F48&gt;PARTITE!D4:D48))</f>
        <v/>
      </c>
      <c r="D11">
        <f>SUMPRODUCT((PARTITE!C4:C48=A11)*(ISNUMBER(PARTITE!D4:D48))*(ISNUMBER(PARTITE!F4:F48))*(PARTITE!D4:D48=PARTITE!F4:F48))+SUMPRODUCT((PARTITE!G4:G48=A11)*(ISNUMBER(PARTITE!D4:D48))*(ISNUMBER(PARTITE!F4:F48))*(PARTITE!F4:F48=PARTITE!D4:D48))</f>
        <v/>
      </c>
      <c r="E11">
        <f>B11-C11-D11</f>
        <v/>
      </c>
      <c r="F11">
        <f>SUMIFS(PARTITE!D4:D48,PARTITE!C4:C48,A11)+SUMIFS(PARTITE!F4:F48,PARTITE!G4:G48,A11)</f>
        <v/>
      </c>
      <c r="G11">
        <f>SUMIFS(PARTITE!F4:F48,PARTITE!C4:C48,A11)+SUMIFS(PARTITE!D4:D48,PARTITE!G4:G48,A11)</f>
        <v/>
      </c>
      <c r="H11">
        <f>C11*3+D11</f>
        <v/>
      </c>
      <c r="I11">
        <f>RANK(H11,H$2:H$11,0)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" customWidth="1" min="3" max="3"/>
    <col width="5" customWidth="1" min="4" max="4"/>
    <col width="5" customWidth="1" min="5" max="5"/>
    <col width="5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8" customHeight="1">
      <c r="A1" s="6" t="inlineStr">
        <is>
          <t>KAIROS CUP 2025 — CLASSIFICA</t>
        </is>
      </c>
    </row>
    <row r="2" ht="20" customHeight="1">
      <c r="A2" s="8" t="inlineStr">
        <is>
          <t>Pos</t>
        </is>
      </c>
      <c r="B2" s="8" t="inlineStr">
        <is>
          <t>Squadra</t>
        </is>
      </c>
      <c r="C2" s="8" t="inlineStr">
        <is>
          <t>G</t>
        </is>
      </c>
      <c r="D2" s="8" t="inlineStr">
        <is>
          <t>V</t>
        </is>
      </c>
      <c r="E2" s="8" t="inlineStr">
        <is>
          <t>N</t>
        </is>
      </c>
      <c r="F2" s="8" t="inlineStr">
        <is>
          <t>P</t>
        </is>
      </c>
      <c r="G2" s="8" t="inlineStr">
        <is>
          <t>GF</t>
        </is>
      </c>
      <c r="H2" s="8" t="inlineStr">
        <is>
          <t>GS</t>
        </is>
      </c>
      <c r="I2" s="8" t="inlineStr">
        <is>
          <t>Dr</t>
        </is>
      </c>
      <c r="J2" s="8" t="inlineStr">
        <is>
          <t>Pt</t>
        </is>
      </c>
    </row>
    <row r="3" ht="20" customHeight="1">
      <c r="A3" s="19" t="n">
        <v>1</v>
      </c>
      <c r="B3" s="20">
        <f>IFERROR(INDEX(_CALC!A$2:A$11,MATCH(1,_CALC!I$2:I$11,0)),"")</f>
        <v/>
      </c>
      <c r="C3" s="19">
        <f>IFERROR(INDEX(_CALC!B$2:B$11,MATCH(1,_CALC!I$2:I$11,0)),"")</f>
        <v/>
      </c>
      <c r="D3" s="19">
        <f>IFERROR(INDEX(_CALC!C$2:C$11,MATCH(1,_CALC!I$2:I$11,0)),"")</f>
        <v/>
      </c>
      <c r="E3" s="19">
        <f>IFERROR(INDEX(_CALC!D$2:D$11,MATCH(1,_CALC!I$2:I$11,0)),"")</f>
        <v/>
      </c>
      <c r="F3" s="19">
        <f>IFERROR(INDEX(_CALC!E$2:E$11,MATCH(1,_CALC!I$2:I$11,0)),"")</f>
        <v/>
      </c>
      <c r="G3" s="19">
        <f>IFERROR(INDEX(_CALC!F$2:F$11,MATCH(1,_CALC!I$2:I$11,0)),"")</f>
        <v/>
      </c>
      <c r="H3" s="19">
        <f>IFERROR(INDEX(_CALC!G$2:G$11,MATCH(1,_CALC!I$2:I$11,0)),"")</f>
        <v/>
      </c>
      <c r="I3" s="19">
        <f>IFERROR(INDEX(_CALC!F$2:F$11,MATCH(1,_CALC!I$2:I$11,0))-INDEX(_CALC!G$2:G$11,MATCH(1,_CALC!I$2:I$11,0)),"")</f>
        <v/>
      </c>
      <c r="J3" s="19">
        <f>IFERROR(INDEX(_CALC!H$2:H$11,MATCH(1,_CALC!I$2:I$11,0)),"")</f>
        <v/>
      </c>
    </row>
    <row r="4" ht="20" customHeight="1">
      <c r="A4" s="21" t="n">
        <v>2</v>
      </c>
      <c r="B4" s="22">
        <f>IFERROR(INDEX(_CALC!A$2:A$11,MATCH(2,_CALC!I$2:I$11,0)),"")</f>
        <v/>
      </c>
      <c r="C4" s="21">
        <f>IFERROR(INDEX(_CALC!B$2:B$11,MATCH(2,_CALC!I$2:I$11,0)),"")</f>
        <v/>
      </c>
      <c r="D4" s="21">
        <f>IFERROR(INDEX(_CALC!C$2:C$11,MATCH(2,_CALC!I$2:I$11,0)),"")</f>
        <v/>
      </c>
      <c r="E4" s="21">
        <f>IFERROR(INDEX(_CALC!D$2:D$11,MATCH(2,_CALC!I$2:I$11,0)),"")</f>
        <v/>
      </c>
      <c r="F4" s="21">
        <f>IFERROR(INDEX(_CALC!E$2:E$11,MATCH(2,_CALC!I$2:I$11,0)),"")</f>
        <v/>
      </c>
      <c r="G4" s="21">
        <f>IFERROR(INDEX(_CALC!F$2:F$11,MATCH(2,_CALC!I$2:I$11,0)),"")</f>
        <v/>
      </c>
      <c r="H4" s="21">
        <f>IFERROR(INDEX(_CALC!G$2:G$11,MATCH(2,_CALC!I$2:I$11,0)),"")</f>
        <v/>
      </c>
      <c r="I4" s="21">
        <f>IFERROR(INDEX(_CALC!F$2:F$11,MATCH(2,_CALC!I$2:I$11,0))-INDEX(_CALC!G$2:G$11,MATCH(2,_CALC!I$2:I$11,0)),"")</f>
        <v/>
      </c>
      <c r="J4" s="23">
        <f>IFERROR(INDEX(_CALC!H$2:H$11,MATCH(2,_CALC!I$2:I$11,0)),"")</f>
        <v/>
      </c>
    </row>
    <row r="5" ht="20" customHeight="1">
      <c r="A5" s="10" t="n">
        <v>3</v>
      </c>
      <c r="B5" s="24">
        <f>IFERROR(INDEX(_CALC!A$2:A$11,MATCH(3,_CALC!I$2:I$11,0)),"")</f>
        <v/>
      </c>
      <c r="C5" s="10">
        <f>IFERROR(INDEX(_CALC!B$2:B$11,MATCH(3,_CALC!I$2:I$11,0)),"")</f>
        <v/>
      </c>
      <c r="D5" s="10">
        <f>IFERROR(INDEX(_CALC!C$2:C$11,MATCH(3,_CALC!I$2:I$11,0)),"")</f>
        <v/>
      </c>
      <c r="E5" s="10">
        <f>IFERROR(INDEX(_CALC!D$2:D$11,MATCH(3,_CALC!I$2:I$11,0)),"")</f>
        <v/>
      </c>
      <c r="F5" s="10">
        <f>IFERROR(INDEX(_CALC!E$2:E$11,MATCH(3,_CALC!I$2:I$11,0)),"")</f>
        <v/>
      </c>
      <c r="G5" s="10">
        <f>IFERROR(INDEX(_CALC!F$2:F$11,MATCH(3,_CALC!I$2:I$11,0)),"")</f>
        <v/>
      </c>
      <c r="H5" s="10">
        <f>IFERROR(INDEX(_CALC!G$2:G$11,MATCH(3,_CALC!I$2:I$11,0)),"")</f>
        <v/>
      </c>
      <c r="I5" s="10">
        <f>IFERROR(INDEX(_CALC!F$2:F$11,MATCH(3,_CALC!I$2:I$11,0))-INDEX(_CALC!G$2:G$11,MATCH(3,_CALC!I$2:I$11,0)),"")</f>
        <v/>
      </c>
      <c r="J5" s="25">
        <f>IFERROR(INDEX(_CALC!H$2:H$11,MATCH(3,_CALC!I$2:I$11,0)),"")</f>
        <v/>
      </c>
    </row>
    <row r="6" ht="20" customHeight="1">
      <c r="A6" s="26" t="n">
        <v>4</v>
      </c>
      <c r="B6" s="27">
        <f>IFERROR(INDEX(_CALC!A$2:A$11,MATCH(4,_CALC!I$2:I$11,0)),"")</f>
        <v/>
      </c>
      <c r="C6" s="26">
        <f>IFERROR(INDEX(_CALC!B$2:B$11,MATCH(4,_CALC!I$2:I$11,0)),"")</f>
        <v/>
      </c>
      <c r="D6" s="26">
        <f>IFERROR(INDEX(_CALC!C$2:C$11,MATCH(4,_CALC!I$2:I$11,0)),"")</f>
        <v/>
      </c>
      <c r="E6" s="26">
        <f>IFERROR(INDEX(_CALC!D$2:D$11,MATCH(4,_CALC!I$2:I$11,0)),"")</f>
        <v/>
      </c>
      <c r="F6" s="26">
        <f>IFERROR(INDEX(_CALC!E$2:E$11,MATCH(4,_CALC!I$2:I$11,0)),"")</f>
        <v/>
      </c>
      <c r="G6" s="26">
        <f>IFERROR(INDEX(_CALC!F$2:F$11,MATCH(4,_CALC!I$2:I$11,0)),"")</f>
        <v/>
      </c>
      <c r="H6" s="26">
        <f>IFERROR(INDEX(_CALC!G$2:G$11,MATCH(4,_CALC!I$2:I$11,0)),"")</f>
        <v/>
      </c>
      <c r="I6" s="26">
        <f>IFERROR(INDEX(_CALC!F$2:F$11,MATCH(4,_CALC!I$2:I$11,0))-INDEX(_CALC!G$2:G$11,MATCH(4,_CALC!I$2:I$11,0)),"")</f>
        <v/>
      </c>
      <c r="J6" s="28">
        <f>IFERROR(INDEX(_CALC!H$2:H$11,MATCH(4,_CALC!I$2:I$11,0)),"")</f>
        <v/>
      </c>
    </row>
    <row r="7" ht="20" customHeight="1">
      <c r="A7" s="9" t="n">
        <v>5</v>
      </c>
      <c r="B7" s="29">
        <f>IFERROR(INDEX(_CALC!A$2:A$11,MATCH(5,_CALC!I$2:I$11,0)),"")</f>
        <v/>
      </c>
      <c r="C7" s="9">
        <f>IFERROR(INDEX(_CALC!B$2:B$11,MATCH(5,_CALC!I$2:I$11,0)),"")</f>
        <v/>
      </c>
      <c r="D7" s="9">
        <f>IFERROR(INDEX(_CALC!C$2:C$11,MATCH(5,_CALC!I$2:I$11,0)),"")</f>
        <v/>
      </c>
      <c r="E7" s="9">
        <f>IFERROR(INDEX(_CALC!D$2:D$11,MATCH(5,_CALC!I$2:I$11,0)),"")</f>
        <v/>
      </c>
      <c r="F7" s="9">
        <f>IFERROR(INDEX(_CALC!E$2:E$11,MATCH(5,_CALC!I$2:I$11,0)),"")</f>
        <v/>
      </c>
      <c r="G7" s="9">
        <f>IFERROR(INDEX(_CALC!F$2:F$11,MATCH(5,_CALC!I$2:I$11,0)),"")</f>
        <v/>
      </c>
      <c r="H7" s="9">
        <f>IFERROR(INDEX(_CALC!G$2:G$11,MATCH(5,_CALC!I$2:I$11,0)),"")</f>
        <v/>
      </c>
      <c r="I7" s="9">
        <f>IFERROR(INDEX(_CALC!F$2:F$11,MATCH(5,_CALC!I$2:I$11,0))-INDEX(_CALC!G$2:G$11,MATCH(5,_CALC!I$2:I$11,0)),"")</f>
        <v/>
      </c>
      <c r="J7" s="30">
        <f>IFERROR(INDEX(_CALC!H$2:H$11,MATCH(5,_CALC!I$2:I$11,0)),"")</f>
        <v/>
      </c>
    </row>
    <row r="8" ht="20" customHeight="1">
      <c r="A8" s="26" t="n">
        <v>6</v>
      </c>
      <c r="B8" s="27">
        <f>IFERROR(INDEX(_CALC!A$2:A$11,MATCH(6,_CALC!I$2:I$11,0)),"")</f>
        <v/>
      </c>
      <c r="C8" s="26">
        <f>IFERROR(INDEX(_CALC!B$2:B$11,MATCH(6,_CALC!I$2:I$11,0)),"")</f>
        <v/>
      </c>
      <c r="D8" s="26">
        <f>IFERROR(INDEX(_CALC!C$2:C$11,MATCH(6,_CALC!I$2:I$11,0)),"")</f>
        <v/>
      </c>
      <c r="E8" s="26">
        <f>IFERROR(INDEX(_CALC!D$2:D$11,MATCH(6,_CALC!I$2:I$11,0)),"")</f>
        <v/>
      </c>
      <c r="F8" s="26">
        <f>IFERROR(INDEX(_CALC!E$2:E$11,MATCH(6,_CALC!I$2:I$11,0)),"")</f>
        <v/>
      </c>
      <c r="G8" s="26">
        <f>IFERROR(INDEX(_CALC!F$2:F$11,MATCH(6,_CALC!I$2:I$11,0)),"")</f>
        <v/>
      </c>
      <c r="H8" s="26">
        <f>IFERROR(INDEX(_CALC!G$2:G$11,MATCH(6,_CALC!I$2:I$11,0)),"")</f>
        <v/>
      </c>
      <c r="I8" s="26">
        <f>IFERROR(INDEX(_CALC!F$2:F$11,MATCH(6,_CALC!I$2:I$11,0))-INDEX(_CALC!G$2:G$11,MATCH(6,_CALC!I$2:I$11,0)),"")</f>
        <v/>
      </c>
      <c r="J8" s="28">
        <f>IFERROR(INDEX(_CALC!H$2:H$11,MATCH(6,_CALC!I$2:I$11,0)),"")</f>
        <v/>
      </c>
    </row>
    <row r="9" ht="20" customHeight="1">
      <c r="A9" s="9" t="n">
        <v>7</v>
      </c>
      <c r="B9" s="29">
        <f>IFERROR(INDEX(_CALC!A$2:A$11,MATCH(7,_CALC!I$2:I$11,0)),"")</f>
        <v/>
      </c>
      <c r="C9" s="9">
        <f>IFERROR(INDEX(_CALC!B$2:B$11,MATCH(7,_CALC!I$2:I$11,0)),"")</f>
        <v/>
      </c>
      <c r="D9" s="9">
        <f>IFERROR(INDEX(_CALC!C$2:C$11,MATCH(7,_CALC!I$2:I$11,0)),"")</f>
        <v/>
      </c>
      <c r="E9" s="9">
        <f>IFERROR(INDEX(_CALC!D$2:D$11,MATCH(7,_CALC!I$2:I$11,0)),"")</f>
        <v/>
      </c>
      <c r="F9" s="9">
        <f>IFERROR(INDEX(_CALC!E$2:E$11,MATCH(7,_CALC!I$2:I$11,0)),"")</f>
        <v/>
      </c>
      <c r="G9" s="9">
        <f>IFERROR(INDEX(_CALC!F$2:F$11,MATCH(7,_CALC!I$2:I$11,0)),"")</f>
        <v/>
      </c>
      <c r="H9" s="9">
        <f>IFERROR(INDEX(_CALC!G$2:G$11,MATCH(7,_CALC!I$2:I$11,0)),"")</f>
        <v/>
      </c>
      <c r="I9" s="9">
        <f>IFERROR(INDEX(_CALC!F$2:F$11,MATCH(7,_CALC!I$2:I$11,0))-INDEX(_CALC!G$2:G$11,MATCH(7,_CALC!I$2:I$11,0)),"")</f>
        <v/>
      </c>
      <c r="J9" s="30">
        <f>IFERROR(INDEX(_CALC!H$2:H$11,MATCH(7,_CALC!I$2:I$11,0)),"")</f>
        <v/>
      </c>
    </row>
    <row r="10" ht="20" customHeight="1">
      <c r="A10" s="26" t="n">
        <v>8</v>
      </c>
      <c r="B10" s="27">
        <f>IFERROR(INDEX(_CALC!A$2:A$11,MATCH(8,_CALC!I$2:I$11,0)),"")</f>
        <v/>
      </c>
      <c r="C10" s="26">
        <f>IFERROR(INDEX(_CALC!B$2:B$11,MATCH(8,_CALC!I$2:I$11,0)),"")</f>
        <v/>
      </c>
      <c r="D10" s="26">
        <f>IFERROR(INDEX(_CALC!C$2:C$11,MATCH(8,_CALC!I$2:I$11,0)),"")</f>
        <v/>
      </c>
      <c r="E10" s="26">
        <f>IFERROR(INDEX(_CALC!D$2:D$11,MATCH(8,_CALC!I$2:I$11,0)),"")</f>
        <v/>
      </c>
      <c r="F10" s="26">
        <f>IFERROR(INDEX(_CALC!E$2:E$11,MATCH(8,_CALC!I$2:I$11,0)),"")</f>
        <v/>
      </c>
      <c r="G10" s="26">
        <f>IFERROR(INDEX(_CALC!F$2:F$11,MATCH(8,_CALC!I$2:I$11,0)),"")</f>
        <v/>
      </c>
      <c r="H10" s="26">
        <f>IFERROR(INDEX(_CALC!G$2:G$11,MATCH(8,_CALC!I$2:I$11,0)),"")</f>
        <v/>
      </c>
      <c r="I10" s="26">
        <f>IFERROR(INDEX(_CALC!F$2:F$11,MATCH(8,_CALC!I$2:I$11,0))-INDEX(_CALC!G$2:G$11,MATCH(8,_CALC!I$2:I$11,0)),"")</f>
        <v/>
      </c>
      <c r="J10" s="28">
        <f>IFERROR(INDEX(_CALC!H$2:H$11,MATCH(8,_CALC!I$2:I$11,0)),"")</f>
        <v/>
      </c>
    </row>
    <row r="11" ht="20" customHeight="1">
      <c r="A11" s="9" t="n">
        <v>9</v>
      </c>
      <c r="B11" s="29">
        <f>IFERROR(INDEX(_CALC!A$2:A$11,MATCH(9,_CALC!I$2:I$11,0)),"")</f>
        <v/>
      </c>
      <c r="C11" s="9">
        <f>IFERROR(INDEX(_CALC!B$2:B$11,MATCH(9,_CALC!I$2:I$11,0)),"")</f>
        <v/>
      </c>
      <c r="D11" s="9">
        <f>IFERROR(INDEX(_CALC!C$2:C$11,MATCH(9,_CALC!I$2:I$11,0)),"")</f>
        <v/>
      </c>
      <c r="E11" s="9">
        <f>IFERROR(INDEX(_CALC!D$2:D$11,MATCH(9,_CALC!I$2:I$11,0)),"")</f>
        <v/>
      </c>
      <c r="F11" s="9">
        <f>IFERROR(INDEX(_CALC!E$2:E$11,MATCH(9,_CALC!I$2:I$11,0)),"")</f>
        <v/>
      </c>
      <c r="G11" s="9">
        <f>IFERROR(INDEX(_CALC!F$2:F$11,MATCH(9,_CALC!I$2:I$11,0)),"")</f>
        <v/>
      </c>
      <c r="H11" s="9">
        <f>IFERROR(INDEX(_CALC!G$2:G$11,MATCH(9,_CALC!I$2:I$11,0)),"")</f>
        <v/>
      </c>
      <c r="I11" s="9">
        <f>IFERROR(INDEX(_CALC!F$2:F$11,MATCH(9,_CALC!I$2:I$11,0))-INDEX(_CALC!G$2:G$11,MATCH(9,_CALC!I$2:I$11,0)),"")</f>
        <v/>
      </c>
      <c r="J11" s="30">
        <f>IFERROR(INDEX(_CALC!H$2:H$11,MATCH(9,_CALC!I$2:I$11,0)),"")</f>
        <v/>
      </c>
    </row>
    <row r="12" ht="20" customHeight="1">
      <c r="A12" s="26" t="n">
        <v>10</v>
      </c>
      <c r="B12" s="27">
        <f>IFERROR(INDEX(_CALC!A$2:A$11,MATCH(10,_CALC!I$2:I$11,0)),"")</f>
        <v/>
      </c>
      <c r="C12" s="26">
        <f>IFERROR(INDEX(_CALC!B$2:B$11,MATCH(10,_CALC!I$2:I$11,0)),"")</f>
        <v/>
      </c>
      <c r="D12" s="26">
        <f>IFERROR(INDEX(_CALC!C$2:C$11,MATCH(10,_CALC!I$2:I$11,0)),"")</f>
        <v/>
      </c>
      <c r="E12" s="26">
        <f>IFERROR(INDEX(_CALC!D$2:D$11,MATCH(10,_CALC!I$2:I$11,0)),"")</f>
        <v/>
      </c>
      <c r="F12" s="26">
        <f>IFERROR(INDEX(_CALC!E$2:E$11,MATCH(10,_CALC!I$2:I$11,0)),"")</f>
        <v/>
      </c>
      <c r="G12" s="26">
        <f>IFERROR(INDEX(_CALC!F$2:F$11,MATCH(10,_CALC!I$2:I$11,0)),"")</f>
        <v/>
      </c>
      <c r="H12" s="26">
        <f>IFERROR(INDEX(_CALC!G$2:G$11,MATCH(10,_CALC!I$2:I$11,0)),"")</f>
        <v/>
      </c>
      <c r="I12" s="26">
        <f>IFERROR(INDEX(_CALC!F$2:F$11,MATCH(10,_CALC!I$2:I$11,0))-INDEX(_CALC!G$2:G$11,MATCH(10,_CALC!I$2:I$11,0)),"")</f>
        <v/>
      </c>
      <c r="J12" s="28">
        <f>IFERROR(INDEX(_CALC!H$2:H$11,MATCH(10,_CALC!I$2:I$11,0)),"")</f>
        <v/>
      </c>
    </row>
    <row r="14" ht="22" customHeight="1">
      <c r="A14" s="31" t="inlineStr">
        <is>
          <t>CLASSIFICA CANNONIERI</t>
        </is>
      </c>
    </row>
    <row r="15" ht="20" customHeight="1">
      <c r="A15" s="8" t="inlineStr">
        <is>
          <t>Pos</t>
        </is>
      </c>
      <c r="B15" s="8" t="inlineStr">
        <is>
          <t>Cognome e Nome</t>
        </is>
      </c>
      <c r="C15" s="8" t="inlineStr">
        <is>
          <t>Squadra</t>
        </is>
      </c>
      <c r="D15" s="8" t="inlineStr">
        <is>
          <t>Gol</t>
        </is>
      </c>
      <c r="E15" s="8" t="inlineStr">
        <is>
          <t>Assist</t>
        </is>
      </c>
      <c r="F15" s="8" t="inlineStr">
        <is>
          <t>Voto</t>
        </is>
      </c>
      <c r="G15" s="8" t="inlineStr">
        <is>
          <t>Presenze</t>
        </is>
      </c>
      <c r="H15" s="8" t="inlineStr"/>
      <c r="I15" s="8" t="inlineStr"/>
      <c r="J15" s="8" t="inlineStr"/>
    </row>
    <row r="16" ht="18" customHeight="1">
      <c r="A16" s="19" t="n">
        <v>1</v>
      </c>
      <c r="B16" s="20">
        <f>IFERROR(INDEX(GIOCATORI!C$3:C$202,MATCH(LARGE(GIOCATORI!E$3:E$202,1),GIOCATORI!E$3:E$202,0)),"")</f>
        <v/>
      </c>
      <c r="C16" s="19">
        <f>IFERROR(INDEX(GIOCATORI!D$3:D$202,MATCH(LARGE(GIOCATORI!E$3:E$202,1),GIOCATORI!E$3:E$202,0)),"")</f>
        <v/>
      </c>
      <c r="D16" s="19">
        <f>IFERROR(INDEX(GIOCATORI!E$3:E$202,MATCH(LARGE(GIOCATORI!E$3:E$202,1),GIOCATORI!E$3:E$202,0)),"")</f>
        <v/>
      </c>
      <c r="E16" s="19">
        <f>IFERROR(INDEX(GIOCATORI!F$3:F$202,MATCH(LARGE(GIOCATORI!E$3:E$202,1),GIOCATORI!E$3:E$202,0)),"")</f>
        <v/>
      </c>
      <c r="F16" s="19">
        <f>IFERROR(INDEX(GIOCATORI!G$3:G$202,MATCH(LARGE(GIOCATORI!E$3:E$202,1),GIOCATORI!E$3:E$202,0)),"")</f>
        <v/>
      </c>
      <c r="G16" s="19">
        <f>IFERROR(INDEX(GIOCATORI!H$3:H$202,MATCH(LARGE(GIOCATORI!E$3:E$202,1),GIOCATORI!E$3:E$202,0)),"")</f>
        <v/>
      </c>
      <c r="H16" s="19" t="inlineStr"/>
      <c r="I16" s="19" t="inlineStr"/>
      <c r="J16" s="19" t="inlineStr"/>
    </row>
    <row r="17" ht="18" customHeight="1">
      <c r="A17" s="26" t="n">
        <v>2</v>
      </c>
      <c r="B17" s="27">
        <f>IFERROR(INDEX(GIOCATORI!C$3:C$202,MATCH(LARGE(GIOCATORI!E$3:E$202,2),GIOCATORI!E$3:E$202,0)),"")</f>
        <v/>
      </c>
      <c r="C17" s="26">
        <f>IFERROR(INDEX(GIOCATORI!D$3:D$202,MATCH(LARGE(GIOCATORI!E$3:E$202,2),GIOCATORI!E$3:E$202,0)),"")</f>
        <v/>
      </c>
      <c r="D17" s="28">
        <f>IFERROR(INDEX(GIOCATORI!E$3:E$202,MATCH(LARGE(GIOCATORI!E$3:E$202,2),GIOCATORI!E$3:E$202,0)),"")</f>
        <v/>
      </c>
      <c r="E17" s="26">
        <f>IFERROR(INDEX(GIOCATORI!F$3:F$202,MATCH(LARGE(GIOCATORI!E$3:E$202,2),GIOCATORI!E$3:E$202,0)),"")</f>
        <v/>
      </c>
      <c r="F17" s="26">
        <f>IFERROR(INDEX(GIOCATORI!G$3:G$202,MATCH(LARGE(GIOCATORI!E$3:E$202,2),GIOCATORI!E$3:E$202,0)),"")</f>
        <v/>
      </c>
      <c r="G17" s="26">
        <f>IFERROR(INDEX(GIOCATORI!H$3:H$202,MATCH(LARGE(GIOCATORI!E$3:E$202,2),GIOCATORI!E$3:E$202,0)),"")</f>
        <v/>
      </c>
      <c r="H17" s="26" t="inlineStr"/>
      <c r="I17" s="26" t="inlineStr"/>
      <c r="J17" s="26" t="inlineStr"/>
    </row>
    <row r="18" ht="18" customHeight="1">
      <c r="A18" s="9" t="n">
        <v>3</v>
      </c>
      <c r="B18" s="29">
        <f>IFERROR(INDEX(GIOCATORI!C$3:C$202,MATCH(LARGE(GIOCATORI!E$3:E$202,3),GIOCATORI!E$3:E$202,0)),"")</f>
        <v/>
      </c>
      <c r="C18" s="9">
        <f>IFERROR(INDEX(GIOCATORI!D$3:D$202,MATCH(LARGE(GIOCATORI!E$3:E$202,3),GIOCATORI!E$3:E$202,0)),"")</f>
        <v/>
      </c>
      <c r="D18" s="30">
        <f>IFERROR(INDEX(GIOCATORI!E$3:E$202,MATCH(LARGE(GIOCATORI!E$3:E$202,3),GIOCATORI!E$3:E$202,0)),"")</f>
        <v/>
      </c>
      <c r="E18" s="9">
        <f>IFERROR(INDEX(GIOCATORI!F$3:F$202,MATCH(LARGE(GIOCATORI!E$3:E$202,3),GIOCATORI!E$3:E$202,0)),"")</f>
        <v/>
      </c>
      <c r="F18" s="9">
        <f>IFERROR(INDEX(GIOCATORI!G$3:G$202,MATCH(LARGE(GIOCATORI!E$3:E$202,3),GIOCATORI!E$3:E$202,0)),"")</f>
        <v/>
      </c>
      <c r="G18" s="9">
        <f>IFERROR(INDEX(GIOCATORI!H$3:H$202,MATCH(LARGE(GIOCATORI!E$3:E$202,3),GIOCATORI!E$3:E$202,0)),"")</f>
        <v/>
      </c>
      <c r="H18" s="9" t="inlineStr"/>
      <c r="I18" s="9" t="inlineStr"/>
      <c r="J18" s="9" t="inlineStr"/>
    </row>
    <row r="19" ht="18" customHeight="1">
      <c r="A19" s="26" t="n">
        <v>4</v>
      </c>
      <c r="B19" s="27">
        <f>IFERROR(INDEX(GIOCATORI!C$3:C$202,MATCH(LARGE(GIOCATORI!E$3:E$202,4),GIOCATORI!E$3:E$202,0)),"")</f>
        <v/>
      </c>
      <c r="C19" s="26">
        <f>IFERROR(INDEX(GIOCATORI!D$3:D$202,MATCH(LARGE(GIOCATORI!E$3:E$202,4),GIOCATORI!E$3:E$202,0)),"")</f>
        <v/>
      </c>
      <c r="D19" s="28">
        <f>IFERROR(INDEX(GIOCATORI!E$3:E$202,MATCH(LARGE(GIOCATORI!E$3:E$202,4),GIOCATORI!E$3:E$202,0)),"")</f>
        <v/>
      </c>
      <c r="E19" s="26">
        <f>IFERROR(INDEX(GIOCATORI!F$3:F$202,MATCH(LARGE(GIOCATORI!E$3:E$202,4),GIOCATORI!E$3:E$202,0)),"")</f>
        <v/>
      </c>
      <c r="F19" s="26">
        <f>IFERROR(INDEX(GIOCATORI!G$3:G$202,MATCH(LARGE(GIOCATORI!E$3:E$202,4),GIOCATORI!E$3:E$202,0)),"")</f>
        <v/>
      </c>
      <c r="G19" s="26">
        <f>IFERROR(INDEX(GIOCATORI!H$3:H$202,MATCH(LARGE(GIOCATORI!E$3:E$202,4),GIOCATORI!E$3:E$202,0)),"")</f>
        <v/>
      </c>
      <c r="H19" s="26" t="inlineStr"/>
      <c r="I19" s="26" t="inlineStr"/>
      <c r="J19" s="26" t="inlineStr"/>
    </row>
    <row r="20" ht="18" customHeight="1">
      <c r="A20" s="9" t="n">
        <v>5</v>
      </c>
      <c r="B20" s="29">
        <f>IFERROR(INDEX(GIOCATORI!C$3:C$202,MATCH(LARGE(GIOCATORI!E$3:E$202,5),GIOCATORI!E$3:E$202,0)),"")</f>
        <v/>
      </c>
      <c r="C20" s="9">
        <f>IFERROR(INDEX(GIOCATORI!D$3:D$202,MATCH(LARGE(GIOCATORI!E$3:E$202,5),GIOCATORI!E$3:E$202,0)),"")</f>
        <v/>
      </c>
      <c r="D20" s="30">
        <f>IFERROR(INDEX(GIOCATORI!E$3:E$202,MATCH(LARGE(GIOCATORI!E$3:E$202,5),GIOCATORI!E$3:E$202,0)),"")</f>
        <v/>
      </c>
      <c r="E20" s="9">
        <f>IFERROR(INDEX(GIOCATORI!F$3:F$202,MATCH(LARGE(GIOCATORI!E$3:E$202,5),GIOCATORI!E$3:E$202,0)),"")</f>
        <v/>
      </c>
      <c r="F20" s="9">
        <f>IFERROR(INDEX(GIOCATORI!G$3:G$202,MATCH(LARGE(GIOCATORI!E$3:E$202,5),GIOCATORI!E$3:E$202,0)),"")</f>
        <v/>
      </c>
      <c r="G20" s="9">
        <f>IFERROR(INDEX(GIOCATORI!H$3:H$202,MATCH(LARGE(GIOCATORI!E$3:E$202,5),GIOCATORI!E$3:E$202,0)),"")</f>
        <v/>
      </c>
      <c r="H20" s="9" t="inlineStr"/>
      <c r="I20" s="9" t="inlineStr"/>
      <c r="J20" s="9" t="inlineStr"/>
    </row>
    <row r="21" ht="18" customHeight="1">
      <c r="A21" s="26" t="n">
        <v>6</v>
      </c>
      <c r="B21" s="27">
        <f>IFERROR(INDEX(GIOCATORI!C$3:C$202,MATCH(LARGE(GIOCATORI!E$3:E$202,6),GIOCATORI!E$3:E$202,0)),"")</f>
        <v/>
      </c>
      <c r="C21" s="26">
        <f>IFERROR(INDEX(GIOCATORI!D$3:D$202,MATCH(LARGE(GIOCATORI!E$3:E$202,6),GIOCATORI!E$3:E$202,0)),"")</f>
        <v/>
      </c>
      <c r="D21" s="28">
        <f>IFERROR(INDEX(GIOCATORI!E$3:E$202,MATCH(LARGE(GIOCATORI!E$3:E$202,6),GIOCATORI!E$3:E$202,0)),"")</f>
        <v/>
      </c>
      <c r="E21" s="26">
        <f>IFERROR(INDEX(GIOCATORI!F$3:F$202,MATCH(LARGE(GIOCATORI!E$3:E$202,6),GIOCATORI!E$3:E$202,0)),"")</f>
        <v/>
      </c>
      <c r="F21" s="26">
        <f>IFERROR(INDEX(GIOCATORI!G$3:G$202,MATCH(LARGE(GIOCATORI!E$3:E$202,6),GIOCATORI!E$3:E$202,0)),"")</f>
        <v/>
      </c>
      <c r="G21" s="26">
        <f>IFERROR(INDEX(GIOCATORI!H$3:H$202,MATCH(LARGE(GIOCATORI!E$3:E$202,6),GIOCATORI!E$3:E$202,0)),"")</f>
        <v/>
      </c>
      <c r="H21" s="26" t="inlineStr"/>
      <c r="I21" s="26" t="inlineStr"/>
      <c r="J21" s="26" t="inlineStr"/>
    </row>
    <row r="22" ht="18" customHeight="1">
      <c r="A22" s="9" t="n">
        <v>7</v>
      </c>
      <c r="B22" s="29">
        <f>IFERROR(INDEX(GIOCATORI!C$3:C$202,MATCH(LARGE(GIOCATORI!E$3:E$202,7),GIOCATORI!E$3:E$202,0)),"")</f>
        <v/>
      </c>
      <c r="C22" s="9">
        <f>IFERROR(INDEX(GIOCATORI!D$3:D$202,MATCH(LARGE(GIOCATORI!E$3:E$202,7),GIOCATORI!E$3:E$202,0)),"")</f>
        <v/>
      </c>
      <c r="D22" s="30">
        <f>IFERROR(INDEX(GIOCATORI!E$3:E$202,MATCH(LARGE(GIOCATORI!E$3:E$202,7),GIOCATORI!E$3:E$202,0)),"")</f>
        <v/>
      </c>
      <c r="E22" s="9">
        <f>IFERROR(INDEX(GIOCATORI!F$3:F$202,MATCH(LARGE(GIOCATORI!E$3:E$202,7),GIOCATORI!E$3:E$202,0)),"")</f>
        <v/>
      </c>
      <c r="F22" s="9">
        <f>IFERROR(INDEX(GIOCATORI!G$3:G$202,MATCH(LARGE(GIOCATORI!E$3:E$202,7),GIOCATORI!E$3:E$202,0)),"")</f>
        <v/>
      </c>
      <c r="G22" s="9">
        <f>IFERROR(INDEX(GIOCATORI!H$3:H$202,MATCH(LARGE(GIOCATORI!E$3:E$202,7),GIOCATORI!E$3:E$202,0)),"")</f>
        <v/>
      </c>
      <c r="H22" s="9" t="inlineStr"/>
      <c r="I22" s="9" t="inlineStr"/>
      <c r="J22" s="9" t="inlineStr"/>
    </row>
    <row r="23" ht="18" customHeight="1">
      <c r="A23" s="26" t="n">
        <v>8</v>
      </c>
      <c r="B23" s="27">
        <f>IFERROR(INDEX(GIOCATORI!C$3:C$202,MATCH(LARGE(GIOCATORI!E$3:E$202,8),GIOCATORI!E$3:E$202,0)),"")</f>
        <v/>
      </c>
      <c r="C23" s="26">
        <f>IFERROR(INDEX(GIOCATORI!D$3:D$202,MATCH(LARGE(GIOCATORI!E$3:E$202,8),GIOCATORI!E$3:E$202,0)),"")</f>
        <v/>
      </c>
      <c r="D23" s="28">
        <f>IFERROR(INDEX(GIOCATORI!E$3:E$202,MATCH(LARGE(GIOCATORI!E$3:E$202,8),GIOCATORI!E$3:E$202,0)),"")</f>
        <v/>
      </c>
      <c r="E23" s="26">
        <f>IFERROR(INDEX(GIOCATORI!F$3:F$202,MATCH(LARGE(GIOCATORI!E$3:E$202,8),GIOCATORI!E$3:E$202,0)),"")</f>
        <v/>
      </c>
      <c r="F23" s="26">
        <f>IFERROR(INDEX(GIOCATORI!G$3:G$202,MATCH(LARGE(GIOCATORI!E$3:E$202,8),GIOCATORI!E$3:E$202,0)),"")</f>
        <v/>
      </c>
      <c r="G23" s="26">
        <f>IFERROR(INDEX(GIOCATORI!H$3:H$202,MATCH(LARGE(GIOCATORI!E$3:E$202,8),GIOCATORI!E$3:E$202,0)),"")</f>
        <v/>
      </c>
      <c r="H23" s="26" t="inlineStr"/>
      <c r="I23" s="26" t="inlineStr"/>
      <c r="J23" s="26" t="inlineStr"/>
    </row>
    <row r="24" ht="18" customHeight="1">
      <c r="A24" s="9" t="n">
        <v>9</v>
      </c>
      <c r="B24" s="29">
        <f>IFERROR(INDEX(GIOCATORI!C$3:C$202,MATCH(LARGE(GIOCATORI!E$3:E$202,9),GIOCATORI!E$3:E$202,0)),"")</f>
        <v/>
      </c>
      <c r="C24" s="9">
        <f>IFERROR(INDEX(GIOCATORI!D$3:D$202,MATCH(LARGE(GIOCATORI!E$3:E$202,9),GIOCATORI!E$3:E$202,0)),"")</f>
        <v/>
      </c>
      <c r="D24" s="30">
        <f>IFERROR(INDEX(GIOCATORI!E$3:E$202,MATCH(LARGE(GIOCATORI!E$3:E$202,9),GIOCATORI!E$3:E$202,0)),"")</f>
        <v/>
      </c>
      <c r="E24" s="9">
        <f>IFERROR(INDEX(GIOCATORI!F$3:F$202,MATCH(LARGE(GIOCATORI!E$3:E$202,9),GIOCATORI!E$3:E$202,0)),"")</f>
        <v/>
      </c>
      <c r="F24" s="9">
        <f>IFERROR(INDEX(GIOCATORI!G$3:G$202,MATCH(LARGE(GIOCATORI!E$3:E$202,9),GIOCATORI!E$3:E$202,0)),"")</f>
        <v/>
      </c>
      <c r="G24" s="9">
        <f>IFERROR(INDEX(GIOCATORI!H$3:H$202,MATCH(LARGE(GIOCATORI!E$3:E$202,9),GIOCATORI!E$3:E$202,0)),"")</f>
        <v/>
      </c>
      <c r="H24" s="9" t="inlineStr"/>
      <c r="I24" s="9" t="inlineStr"/>
      <c r="J24" s="9" t="inlineStr"/>
    </row>
    <row r="25" ht="18" customHeight="1">
      <c r="A25" s="26" t="n">
        <v>10</v>
      </c>
      <c r="B25" s="27">
        <f>IFERROR(INDEX(GIOCATORI!C$3:C$202,MATCH(LARGE(GIOCATORI!E$3:E$202,10),GIOCATORI!E$3:E$202,0)),"")</f>
        <v/>
      </c>
      <c r="C25" s="26">
        <f>IFERROR(INDEX(GIOCATORI!D$3:D$202,MATCH(LARGE(GIOCATORI!E$3:E$202,10),GIOCATORI!E$3:E$202,0)),"")</f>
        <v/>
      </c>
      <c r="D25" s="28">
        <f>IFERROR(INDEX(GIOCATORI!E$3:E$202,MATCH(LARGE(GIOCATORI!E$3:E$202,10),GIOCATORI!E$3:E$202,0)),"")</f>
        <v/>
      </c>
      <c r="E25" s="26">
        <f>IFERROR(INDEX(GIOCATORI!F$3:F$202,MATCH(LARGE(GIOCATORI!E$3:E$202,10),GIOCATORI!E$3:E$202,0)),"")</f>
        <v/>
      </c>
      <c r="F25" s="26">
        <f>IFERROR(INDEX(GIOCATORI!G$3:G$202,MATCH(LARGE(GIOCATORI!E$3:E$202,10),GIOCATORI!E$3:E$202,0)),"")</f>
        <v/>
      </c>
      <c r="G25" s="26">
        <f>IFERROR(INDEX(GIOCATORI!H$3:H$202,MATCH(LARGE(GIOCATORI!E$3:E$202,10),GIOCATORI!E$3:E$202,0)),"")</f>
        <v/>
      </c>
      <c r="H25" s="26" t="inlineStr"/>
      <c r="I25" s="26" t="inlineStr"/>
      <c r="J25" s="26" t="inlineStr"/>
    </row>
  </sheetData>
  <mergeCells count="2">
    <mergeCell ref="A1:J1"/>
    <mergeCell ref="A14:J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5722"/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  <col width="80" customWidth="1" min="3" max="3"/>
    <col width="80" customWidth="1" min="4" max="4"/>
    <col width="80" customWidth="1" min="5" max="5"/>
  </cols>
  <sheetData>
    <row r="1" ht="26" customHeight="1">
      <c r="A1" s="31" t="inlineStr">
        <is>
          <t>EXPORT JSON — Kairos Cup · Copia il testo dalla cella B6 nel sito web</t>
        </is>
      </c>
    </row>
    <row r="2" ht="18" customHeight="1">
      <c r="B2" s="32" t="inlineStr">
        <is>
          <t>1. Apri il sito Kairos Cup  2. Clicca 'Aggiorna Dati'  3. Incolla il contenuto della cella B6 nel campo apposito  4. Clicca Conferma</t>
        </is>
      </c>
    </row>
    <row r="3">
      <c r="C3">
        <f>IFERROR("{"&amp;"pos:"&amp;CLASSIFICA!A3&amp;",squadra:\""&amp;CLASSIFICA!B3&amp;"\""&amp;",G:"&amp;CLASSIFICA!C3&amp;",V:"&amp;CLASSIFICA!D3&amp;",N:"&amp;CLASSIFICA!E3&amp;",P:"&amp;CLASSIFICA!F3&amp;",GF:"&amp;CLASSIFICA!G3&amp;",GS:"&amp;CLASSIFICA!H3&amp;",Dr:"&amp;CLASSIFICA!I3&amp;",Pt:"&amp;CLASSIFICA!J3&amp;"}","")</f>
        <v/>
      </c>
      <c r="D3">
        <f>IFERROR("{"&amp;"nome:\""&amp;CLASSIFICA!B16&amp;"\""&amp;",squadra:\""&amp;CLASSIFICA!C16&amp;"\""&amp;",gol:"&amp;CLASSIFICA!D16&amp;",assist:"&amp;CLASSIFICA!E16&amp;",voto:"&amp;CLASSIFICA!F16&amp;"}","")</f>
        <v/>
      </c>
      <c r="E3">
        <f>IFERROR("{"&amp;"nome:\""&amp;INDEX(GIOCATORI!C$3:C$202,MATCH(LARGE(IF(GIOCATORI!I$3:I$202="Portiere",GIOCATORI!G$3:G$202),1),IF(GIOCATORI!I$3:I$202="Portiere",GIOCATORI!G$3:G$202),0))&amp;"\""&amp;",squadra:\""&amp;INDEX(GIOCATORI!D$3:D$202,MATCH(LARGE(IF(GIOCATORI!I$3:I$202="Portiere",GIOCATORI!G$3:G$202),1),IF(GIOCATORI!I$3:I$202="Portiere",GIOCATORI!G$3:G$202),0))&amp;"\""&amp;",voto:"&amp;LARGE(IF(GIOCATORI!I$3:I$202="Portiere",GIOCATORI!G$3:G$202),1)&amp;"}","")</f>
        <v/>
      </c>
    </row>
    <row r="4">
      <c r="C4">
        <f>IFERROR("{"&amp;"pos:"&amp;CLASSIFICA!A4&amp;",squadra:\""&amp;CLASSIFICA!B4&amp;"\""&amp;",G:"&amp;CLASSIFICA!C4&amp;",V:"&amp;CLASSIFICA!D4&amp;",N:"&amp;CLASSIFICA!E4&amp;",P:"&amp;CLASSIFICA!F4&amp;",GF:"&amp;CLASSIFICA!G4&amp;",GS:"&amp;CLASSIFICA!H4&amp;",Dr:"&amp;CLASSIFICA!I4&amp;",Pt:"&amp;CLASSIFICA!J4&amp;"}","")</f>
        <v/>
      </c>
      <c r="D4">
        <f>IFERROR("{"&amp;"nome:\""&amp;CLASSIFICA!B17&amp;"\""&amp;",squadra:\""&amp;CLASSIFICA!C17&amp;"\""&amp;",gol:"&amp;CLASSIFICA!D17&amp;",assist:"&amp;CLASSIFICA!E17&amp;",voto:"&amp;CLASSIFICA!F17&amp;"}","")</f>
        <v/>
      </c>
      <c r="E4">
        <f>IFERROR("{"&amp;"nome:\""&amp;INDEX(GIOCATORI!C$3:C$202,MATCH(LARGE(IF(GIOCATORI!I$3:I$202="Portiere",GIOCATORI!G$3:G$202),2),IF(GIOCATORI!I$3:I$202="Portiere",GIOCATORI!G$3:G$202),0))&amp;"\""&amp;",squadra:\""&amp;INDEX(GIOCATORI!D$3:D$202,MATCH(LARGE(IF(GIOCATORI!I$3:I$202="Portiere",GIOCATORI!G$3:G$202),2),IF(GIOCATORI!I$3:I$202="Portiere",GIOCATORI!G$3:G$202),0))&amp;"\""&amp;",voto:"&amp;LARGE(IF(GIOCATORI!I$3:I$202="Portiere",GIOCATORI!G$3:G$202),2)&amp;"}","")</f>
        <v/>
      </c>
    </row>
    <row r="5">
      <c r="B5" s="33" t="inlineStr">
        <is>
          <t>JSON da copiare nel sito:</t>
        </is>
      </c>
      <c r="C5">
        <f>IFERROR("{"&amp;"pos:"&amp;CLASSIFICA!A5&amp;",squadra:\""&amp;CLASSIFICA!B5&amp;"\""&amp;",G:"&amp;CLASSIFICA!C5&amp;",V:"&amp;CLASSIFICA!D5&amp;",N:"&amp;CLASSIFICA!E5&amp;",P:"&amp;CLASSIFICA!F5&amp;",GF:"&amp;CLASSIFICA!G5&amp;",GS:"&amp;CLASSIFICA!H5&amp;",Dr:"&amp;CLASSIFICA!I5&amp;",Pt:"&amp;CLASSIFICA!J5&amp;"}","")</f>
        <v/>
      </c>
      <c r="D5">
        <f>IFERROR("{"&amp;"nome:\""&amp;CLASSIFICA!B18&amp;"\""&amp;",squadra:\""&amp;CLASSIFICA!C18&amp;"\""&amp;",gol:"&amp;CLASSIFICA!D18&amp;",assist:"&amp;CLASSIFICA!E18&amp;",voto:"&amp;CLASSIFICA!F18&amp;"}","")</f>
        <v/>
      </c>
      <c r="E5">
        <f>IFERROR("{"&amp;"nome:\""&amp;INDEX(GIOCATORI!C$3:C$202,MATCH(LARGE(IF(GIOCATORI!I$3:I$202="Portiere",GIOCATORI!G$3:G$202),3),IF(GIOCATORI!I$3:I$202="Portiere",GIOCATORI!G$3:G$202),0))&amp;"\""&amp;",squadra:\""&amp;INDEX(GIOCATORI!D$3:D$202,MATCH(LARGE(IF(GIOCATORI!I$3:I$202="Portiere",GIOCATORI!G$3:G$202),3),IF(GIOCATORI!I$3:I$202="Portiere",GIOCATORI!G$3:G$202),0))&amp;"\""&amp;",voto:"&amp;LARGE(IF(GIOCATORI!I$3:I$202="Portiere",GIOCATORI!G$3:G$202),3)&amp;"}","")</f>
        <v/>
      </c>
    </row>
    <row r="6" ht="80" customHeight="1">
      <c r="B6" s="34">
        <f>"{""classifica"":["&amp;TEXTJOIN(",",TRUE,C3:C12)&amp;"],""cannonieri"":["&amp;TEXTJOIN(",",TRUE,D3:D12)&amp;"],""portieri"":["&amp;TEXTJOIN(",",TRUE,E3:E7)&amp;"]}"</f>
        <v/>
      </c>
      <c r="C6">
        <f>IFERROR("{"&amp;"pos:"&amp;CLASSIFICA!A6&amp;",squadra:\""&amp;CLASSIFICA!B6&amp;"\""&amp;",G:"&amp;CLASSIFICA!C6&amp;",V:"&amp;CLASSIFICA!D6&amp;",N:"&amp;CLASSIFICA!E6&amp;",P:"&amp;CLASSIFICA!F6&amp;",GF:"&amp;CLASSIFICA!G6&amp;",GS:"&amp;CLASSIFICA!H6&amp;",Dr:"&amp;CLASSIFICA!I6&amp;",Pt:"&amp;CLASSIFICA!J6&amp;"}","")</f>
        <v/>
      </c>
      <c r="D6">
        <f>IFERROR("{"&amp;"nome:\""&amp;CLASSIFICA!B19&amp;"\""&amp;",squadra:\""&amp;CLASSIFICA!C19&amp;"\""&amp;",gol:"&amp;CLASSIFICA!D19&amp;",assist:"&amp;CLASSIFICA!E19&amp;",voto:"&amp;CLASSIFICA!F19&amp;"}","")</f>
        <v/>
      </c>
      <c r="E6">
        <f>IFERROR("{"&amp;"nome:\""&amp;INDEX(GIOCATORI!C$3:C$202,MATCH(LARGE(IF(GIOCATORI!I$3:I$202="Portiere",GIOCATORI!G$3:G$202),4),IF(GIOCATORI!I$3:I$202="Portiere",GIOCATORI!G$3:G$202),0))&amp;"\""&amp;",squadra:\""&amp;INDEX(GIOCATORI!D$3:D$202,MATCH(LARGE(IF(GIOCATORI!I$3:I$202="Portiere",GIOCATORI!G$3:G$202),4),IF(GIOCATORI!I$3:I$202="Portiere",GIOCATORI!G$3:G$202),0))&amp;"\""&amp;",voto:"&amp;LARGE(IF(GIOCATORI!I$3:I$202="Portiere",GIOCATORI!G$3:G$202),4)&amp;"}","")</f>
        <v/>
      </c>
    </row>
    <row r="7">
      <c r="B7" s="35" t="inlineStr">
        <is>
          <t>↑ Seleziona B6, copia (Ctrl+C) e incolla nel campo JSON del sito Kairos Cup.</t>
        </is>
      </c>
      <c r="C7">
        <f>IFERROR("{"&amp;"pos:"&amp;CLASSIFICA!A7&amp;",squadra:\""&amp;CLASSIFICA!B7&amp;"\""&amp;",G:"&amp;CLASSIFICA!C7&amp;",V:"&amp;CLASSIFICA!D7&amp;",N:"&amp;CLASSIFICA!E7&amp;",P:"&amp;CLASSIFICA!F7&amp;",GF:"&amp;CLASSIFICA!G7&amp;",GS:"&amp;CLASSIFICA!H7&amp;",Dr:"&amp;CLASSIFICA!I7&amp;",Pt:"&amp;CLASSIFICA!J7&amp;"}","")</f>
        <v/>
      </c>
      <c r="D7">
        <f>IFERROR("{"&amp;"nome:\""&amp;CLASSIFICA!B20&amp;"\""&amp;",squadra:\""&amp;CLASSIFICA!C20&amp;"\""&amp;",gol:"&amp;CLASSIFICA!D20&amp;",assist:"&amp;CLASSIFICA!E20&amp;",voto:"&amp;CLASSIFICA!F20&amp;"}","")</f>
        <v/>
      </c>
      <c r="E7">
        <f>IFERROR("{"&amp;"nome:\""&amp;INDEX(GIOCATORI!C$3:C$202,MATCH(LARGE(IF(GIOCATORI!I$3:I$202="Portiere",GIOCATORI!G$3:G$202),5),IF(GIOCATORI!I$3:I$202="Portiere",GIOCATORI!G$3:G$202),0))&amp;"\""&amp;",squadra:\""&amp;INDEX(GIOCATORI!D$3:D$202,MATCH(LARGE(IF(GIOCATORI!I$3:I$202="Portiere",GIOCATORI!G$3:G$202),5),IF(GIOCATORI!I$3:I$202="Portiere",GIOCATORI!G$3:G$202),0))&amp;"\""&amp;",voto:"&amp;LARGE(IF(GIOCATORI!I$3:I$202="Portiere",GIOCATORI!G$3:G$202),5)&amp;"}","")</f>
        <v/>
      </c>
    </row>
    <row r="8">
      <c r="C8">
        <f>IFERROR("{"&amp;"pos:"&amp;CLASSIFICA!A8&amp;",squadra:\""&amp;CLASSIFICA!B8&amp;"\""&amp;",G:"&amp;CLASSIFICA!C8&amp;",V:"&amp;CLASSIFICA!D8&amp;",N:"&amp;CLASSIFICA!E8&amp;",P:"&amp;CLASSIFICA!F8&amp;",GF:"&amp;CLASSIFICA!G8&amp;",GS:"&amp;CLASSIFICA!H8&amp;",Dr:"&amp;CLASSIFICA!I8&amp;",Pt:"&amp;CLASSIFICA!J8&amp;"}","")</f>
        <v/>
      </c>
      <c r="D8">
        <f>IFERROR("{"&amp;"nome:\""&amp;CLASSIFICA!B21&amp;"\""&amp;",squadra:\""&amp;CLASSIFICA!C21&amp;"\""&amp;",gol:"&amp;CLASSIFICA!D21&amp;",assist:"&amp;CLASSIFICA!E21&amp;",voto:"&amp;CLASSIFICA!F21&amp;"}","")</f>
        <v/>
      </c>
    </row>
    <row r="9">
      <c r="C9">
        <f>IFERROR("{"&amp;"pos:"&amp;CLASSIFICA!A9&amp;",squadra:\""&amp;CLASSIFICA!B9&amp;"\""&amp;",G:"&amp;CLASSIFICA!C9&amp;",V:"&amp;CLASSIFICA!D9&amp;",N:"&amp;CLASSIFICA!E9&amp;",P:"&amp;CLASSIFICA!F9&amp;",GF:"&amp;CLASSIFICA!G9&amp;",GS:"&amp;CLASSIFICA!H9&amp;",Dr:"&amp;CLASSIFICA!I9&amp;",Pt:"&amp;CLASSIFICA!J9&amp;"}","")</f>
        <v/>
      </c>
      <c r="D9">
        <f>IFERROR("{"&amp;"nome:\""&amp;CLASSIFICA!B22&amp;"\""&amp;",squadra:\""&amp;CLASSIFICA!C22&amp;"\""&amp;",gol:"&amp;CLASSIFICA!D22&amp;",assist:"&amp;CLASSIFICA!E22&amp;",voto:"&amp;CLASSIFICA!F22&amp;"}","")</f>
        <v/>
      </c>
    </row>
    <row r="10">
      <c r="C10">
        <f>IFERROR("{"&amp;"pos:"&amp;CLASSIFICA!A10&amp;",squadra:\""&amp;CLASSIFICA!B10&amp;"\""&amp;",G:"&amp;CLASSIFICA!C10&amp;",V:"&amp;CLASSIFICA!D10&amp;",N:"&amp;CLASSIFICA!E10&amp;",P:"&amp;CLASSIFICA!F10&amp;",GF:"&amp;CLASSIFICA!G10&amp;",GS:"&amp;CLASSIFICA!H10&amp;",Dr:"&amp;CLASSIFICA!I10&amp;",Pt:"&amp;CLASSIFICA!J10&amp;"}","")</f>
        <v/>
      </c>
      <c r="D10">
        <f>IFERROR("{"&amp;"nome:\""&amp;CLASSIFICA!B23&amp;"\""&amp;",squadra:\""&amp;CLASSIFICA!C23&amp;"\""&amp;",gol:"&amp;CLASSIFICA!D23&amp;",assist:"&amp;CLASSIFICA!E23&amp;",voto:"&amp;CLASSIFICA!F23&amp;"}","")</f>
        <v/>
      </c>
    </row>
    <row r="11">
      <c r="C11">
        <f>IFERROR("{"&amp;"pos:"&amp;CLASSIFICA!A11&amp;",squadra:\""&amp;CLASSIFICA!B11&amp;"\""&amp;",G:"&amp;CLASSIFICA!C11&amp;",V:"&amp;CLASSIFICA!D11&amp;",N:"&amp;CLASSIFICA!E11&amp;",P:"&amp;CLASSIFICA!F11&amp;",GF:"&amp;CLASSIFICA!G11&amp;",GS:"&amp;CLASSIFICA!H11&amp;",Dr:"&amp;CLASSIFICA!I11&amp;",Pt:"&amp;CLASSIFICA!J11&amp;"}","")</f>
        <v/>
      </c>
      <c r="D11">
        <f>IFERROR("{"&amp;"nome:\""&amp;CLASSIFICA!B24&amp;"\""&amp;",squadra:\""&amp;CLASSIFICA!C24&amp;"\""&amp;",gol:"&amp;CLASSIFICA!D24&amp;",assist:"&amp;CLASSIFICA!E24&amp;",voto:"&amp;CLASSIFICA!F24&amp;"}","")</f>
        <v/>
      </c>
    </row>
    <row r="12">
      <c r="C12">
        <f>IFERROR("{"&amp;"pos:"&amp;CLASSIFICA!A12&amp;",squadra:\""&amp;CLASSIFICA!B12&amp;"\""&amp;",G:"&amp;CLASSIFICA!C12&amp;",V:"&amp;CLASSIFICA!D12&amp;",N:"&amp;CLASSIFICA!E12&amp;",P:"&amp;CLASSIFICA!F12&amp;",GF:"&amp;CLASSIFICA!G12&amp;",GS:"&amp;CLASSIFICA!H12&amp;",Dr:"&amp;CLASSIFICA!I12&amp;",Pt:"&amp;CLASSIFICA!J12&amp;"}","")</f>
        <v/>
      </c>
      <c r="D12">
        <f>IFERROR("{"&amp;"nome:\""&amp;CLASSIFICA!B25&amp;"\""&amp;",squadra:\""&amp;CLASSIFICA!C25&amp;"\""&amp;",gol:"&amp;CLASSIFICA!D25&amp;",assist:"&amp;CLASSIFICA!E25&amp;",voto:"&amp;CLASSIFICA!F25&amp;"}","")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2026-04-27T19:50:52Z</dcterms:created>
  <dcterms:modified xmlns:dcterms="http://purl.org/dc/terms/" xmlns:xsi="http://www.w3.org/2001/XMLSchema-instance" xsi:type="dcterms:W3CDTF">2026-04-27T19:50:53Z</dcterms:modified>
</cp:coreProperties>
</file>